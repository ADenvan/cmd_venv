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3" windowHeight="8192" windowWidth="16384" xWindow="0" yWindow="0"/>
  </bookViews>
  <sheets>
    <sheet name="2026- не активный" sheetId="1" state="visible" r:id="rId2"/>
  </sheets>
  <definedNames>
    <definedName function="false" hidden="false" localSheetId="0" name="_xlnm._FilterDatabase" vbProcedure="false">'2026- не активный'!$D$1</definedName>
    <definedName function="false" hidden="false" localSheetId="0" name="_xlnm._FilterDatabase_0" vbProcedure="false">#ссыл!!$D$1</definedName>
  </definedName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authorId="0" ref="S17">
      <text>
        <r>
          <rPr>
            <rFont val="Arial"/>
            <charset val="1"/>
            <family val="2"/>
            <color rgb="FF000000"/>
            <sz val="10"/>
          </rPr>
          <t xml:space="preserve">12.01-19.01</t>
        </r>
      </text>
    </comment>
    <comment authorId="0" ref="W52">
      <text>
        <r>
          <rPr>
            <rFont val="Arial"/>
            <charset val="1"/>
            <family val="2"/>
            <color rgb="FF000000"/>
            <sz val="10"/>
          </rPr>
          <t xml:space="preserve">Логистика 10к/мес</t>
        </r>
      </text>
    </comment>
    <comment authorId="0" ref="W53">
      <text>
        <r>
          <rPr>
            <rFont val="Arial"/>
            <charset val="1"/>
            <family val="2"/>
            <color rgb="FF000000"/>
            <sz val="10"/>
          </rPr>
          <t xml:space="preserve">Логистика 10к/мес</t>
        </r>
      </text>
    </comment>
    <comment authorId="0" ref="W135">
      <text>
        <r>
          <rPr>
            <rFont val="Arial"/>
            <charset val="1"/>
            <family val="2"/>
            <color rgb="FF000000"/>
            <sz val="10"/>
          </rPr>
          <t xml:space="preserve">Логистика 10к/мес</t>
        </r>
      </text>
    </comment>
    <comment authorId="0" ref="W136">
      <text>
        <r>
          <rPr>
            <rFont val="Arial"/>
            <charset val="1"/>
            <family val="2"/>
            <color rgb="FF000000"/>
            <sz val="10"/>
          </rPr>
          <t xml:space="preserve">Логистика 10к/мес</t>
        </r>
      </text>
    </comment>
    <comment authorId="0" ref="AB28">
      <text>
        <r>
          <rPr>
            <rFont val="Arial"/>
            <charset val="1"/>
            <family val="2"/>
            <color rgb="FF000000"/>
            <sz val="10"/>
          </rPr>
          <t xml:space="preserve">2800 начислено за оплату отправления СДЭК</t>
        </r>
      </text>
    </comment>
    <comment authorId="0" ref="AB54">
      <text>
        <r>
          <rPr>
            <rFont val="Arial"/>
            <charset val="1"/>
            <family val="2"/>
            <color rgb="FF000000"/>
            <sz val="10"/>
          </rPr>
          <t xml:space="preserve">41080 Лизинг
</t>
        </r>
      </text>
    </comment>
    <comment authorId="0" ref="AB55">
      <text>
        <r>
          <rPr>
            <rFont val="Arial"/>
            <charset val="1"/>
            <family val="2"/>
            <color rgb="FF000000"/>
            <sz val="10"/>
          </rPr>
          <t xml:space="preserve">41080 Лизинг
10000 26.12 выплата
-6000 авито от 05.01
22000 внесение от Губарева</t>
        </r>
      </text>
    </comment>
    <comment authorId="0" ref="AB121">
      <text>
        <r>
          <rPr>
            <rFont val="Arial"/>
            <charset val="1"/>
            <family val="2"/>
            <color rgb="FF000000"/>
            <sz val="10"/>
          </rPr>
          <t xml:space="preserve">3050 за паркинг</t>
        </r>
      </text>
    </comment>
    <comment authorId="0" ref="AB122">
      <text>
        <r>
          <rPr>
            <rFont val="Arial"/>
            <charset val="1"/>
            <family val="2"/>
            <color rgb="FF000000"/>
            <sz val="10"/>
          </rPr>
          <t xml:space="preserve">3050 за паркинг</t>
        </r>
      </text>
    </comment>
    <comment authorId="0" ref="AB137">
      <text>
        <r>
          <rPr>
            <rFont val="Arial"/>
            <charset val="1"/>
            <family val="2"/>
            <color rgb="FF000000"/>
            <sz val="10"/>
          </rPr>
          <t xml:space="preserve">41765Лизинг
</t>
        </r>
      </text>
    </comment>
    <comment authorId="0" ref="AB138">
      <text>
        <r>
          <rPr>
            <rFont val="Arial"/>
            <charset val="1"/>
            <family val="2"/>
            <color rgb="FF000000"/>
            <sz val="10"/>
          </rPr>
          <t xml:space="preserve">41765 Лизинг
</t>
        </r>
      </text>
    </comment>
    <comment authorId="0" ref="AE48">
      <text>
        <r>
          <rPr>
            <rFont val="Arial"/>
            <charset val="1"/>
            <family val="2"/>
            <color rgb="FF000000"/>
            <sz val="10"/>
          </rPr>
          <t xml:space="preserve">выплачено</t>
        </r>
      </text>
    </comment>
  </commentList>
</comments>
</file>

<file path=xl/sharedStrings.xml><?xml version="1.0" encoding="utf-8"?>
<sst xmlns="http://schemas.openxmlformats.org/spreadsheetml/2006/main" count="421" uniqueCount="106">
  <si>
    <t>дата начала работы</t>
  </si>
  <si>
    <t>Сотрудник</t>
  </si>
  <si>
    <t>формат тип Окладник / окладник час / час</t>
  </si>
  <si>
    <t>Период выплат с</t>
  </si>
  <si>
    <t>период</t>
  </si>
  <si>
    <t>Итого час</t>
  </si>
  <si>
    <t>Перерасчет декабрь</t>
  </si>
  <si>
    <t>часы перераб двойные</t>
  </si>
  <si>
    <t>руб /час</t>
  </si>
  <si>
    <t>Оклад</t>
  </si>
  <si>
    <t>дней /мес</t>
  </si>
  <si>
    <t>расчет за период по отработ часам</t>
  </si>
  <si>
    <t>Премия за продуктивность \ % продаж</t>
  </si>
  <si>
    <t>Переработки / овертайм</t>
  </si>
  <si>
    <t>отпуска</t>
  </si>
  <si>
    <t>больничные</t>
  </si>
  <si>
    <t>проезд</t>
  </si>
  <si>
    <t>доплата за бригадирство / старший</t>
  </si>
  <si>
    <t>Доп выплаты</t>
  </si>
  <si>
    <t>расчет  к выплате за период Премия +доп выплата + часы</t>
  </si>
  <si>
    <t>Перерасчет с  прошлого периода</t>
  </si>
  <si>
    <t>Остат-к с пред периода</t>
  </si>
  <si>
    <t>Итого полный расчет к выплате за период</t>
  </si>
  <si>
    <t>Выплаченно ранее (начислено)</t>
  </si>
  <si>
    <t>Выплата
 на рас. счет - 
мы должны выплатить</t>
  </si>
  <si>
    <t>выплата
нал - должны выплатить</t>
  </si>
  <si>
    <t>Фактически мы Выплатили
 за период</t>
  </si>
  <si>
    <t>Итого за
месяц</t>
  </si>
  <si>
    <t>остаток денег
на след выплату</t>
  </si>
  <si>
    <t>коментарии</t>
  </si>
  <si>
    <t>аванс наличн</t>
  </si>
  <si>
    <t>авнс перевод</t>
  </si>
  <si>
    <t>ИП - ТОЧКА</t>
  </si>
  <si>
    <t>ООО - точка</t>
  </si>
  <si>
    <t>ЗП наличн</t>
  </si>
  <si>
    <t>ЗП перевод</t>
  </si>
  <si>
    <t>ИП - бланк</t>
  </si>
  <si>
    <t>с</t>
  </si>
  <si>
    <t>Кол-во раб дней=19</t>
  </si>
  <si>
    <t>ДЕКАБРЬ</t>
  </si>
  <si>
    <t>СКЛАД</t>
  </si>
  <si>
    <t>Герман 
Ландграф</t>
  </si>
  <si>
    <t>Админ - склад</t>
  </si>
  <si>
    <t>окладник час</t>
  </si>
  <si>
    <t>декабрь</t>
  </si>
  <si>
    <t>Мохамед
Мослех</t>
  </si>
  <si>
    <t>Б2Б- сборка</t>
  </si>
  <si>
    <t>окладник / на часы</t>
  </si>
  <si>
    <t>Михаил
Одинцов</t>
  </si>
  <si>
    <t>по часам</t>
  </si>
  <si>
    <t>Тимур
Акыев</t>
  </si>
  <si>
    <t>Сергей
Мочалов</t>
  </si>
  <si>
    <t>хранение</t>
  </si>
  <si>
    <t>с 30.10.2025 75 000,00</t>
  </si>
  <si>
    <t>Юлия
Татаринцева</t>
  </si>
  <si>
    <t>МП - сборка</t>
  </si>
  <si>
    <t>Валерия
Павлюк</t>
  </si>
  <si>
    <t>Акрам
Абдуллаев</t>
  </si>
  <si>
    <t>Юлия
Шашкова</t>
  </si>
  <si>
    <t>Арина
Алесова</t>
  </si>
  <si>
    <t>Щеглов
Сергей</t>
  </si>
  <si>
    <t>Дарья</t>
  </si>
  <si>
    <t>Сеченова</t>
  </si>
  <si>
    <t>Александр
Фролов</t>
  </si>
  <si>
    <t>оклад</t>
  </si>
  <si>
    <t>j</t>
  </si>
  <si>
    <t>ВНЕ СКЛАДА</t>
  </si>
  <si>
    <t>Отработано дней</t>
  </si>
  <si>
    <t>часы переработки вечерние</t>
  </si>
  <si>
    <t>часы переработки двойные</t>
  </si>
  <si>
    <t>раб дней /мес</t>
  </si>
  <si>
    <t>расчет за период по отработанным часам</t>
  </si>
  <si>
    <t>Выплачено
 за период</t>
  </si>
  <si>
    <t>Вероника
Лепилина</t>
  </si>
  <si>
    <t>Контент</t>
  </si>
  <si>
    <t>Настя
Виноградова</t>
  </si>
  <si>
    <t>Отд. продаж</t>
  </si>
  <si>
    <t>испыт=80</t>
  </si>
  <si>
    <t>Кочергина
Лейсан</t>
  </si>
  <si>
    <t>испыт окончен</t>
  </si>
  <si>
    <t>Блинкова
Марина</t>
  </si>
  <si>
    <t>Насонова
Татьяна</t>
  </si>
  <si>
    <t>испыт=80000 до 06.12.25</t>
  </si>
  <si>
    <t>Тимербаева
Карина</t>
  </si>
  <si>
    <t>Бирюков
Алексей</t>
  </si>
  <si>
    <t>Вячеслав
Бубляев</t>
  </si>
  <si>
    <t>1 мес=90, 2мес=95, 3мес=1000</t>
  </si>
  <si>
    <t>Игорь
Куликов</t>
  </si>
  <si>
    <t>Закупки</t>
  </si>
  <si>
    <t>Веселова
Валерия</t>
  </si>
  <si>
    <t>70 000</t>
  </si>
  <si>
    <t>Олег
Лепилин</t>
  </si>
  <si>
    <t>Админ - офис</t>
  </si>
  <si>
    <t>Ирина
Смоленская</t>
  </si>
  <si>
    <t>Бухгалтерия</t>
  </si>
  <si>
    <t>2 месяца 75000  после 85000</t>
  </si>
  <si>
    <t>Юлия
Морозова</t>
  </si>
  <si>
    <t>Евгений
Мунтян</t>
  </si>
  <si>
    <t>Степан
Бендюк</t>
  </si>
  <si>
    <t>Финансы</t>
  </si>
  <si>
    <t>Александр
Морозов</t>
  </si>
  <si>
    <t>Тимурлан
Ерахмедов</t>
  </si>
  <si>
    <t>Итого сотрудников</t>
  </si>
  <si>
    <t>Кол-во раб дней=15</t>
  </si>
  <si>
    <t>ЯНВАРЬ 2026</t>
  </si>
  <si>
    <t>январь</t>
  </si>
</sst>
</file>

<file path=xl/styles.xml><?xml version="1.0" encoding="utf-8"?>
<styleSheet xmlns="http://schemas.openxmlformats.org/spreadsheetml/2006/main">
  <numFmts count="9">
    <numFmt formatCode="GENERAL" numFmtId="164"/>
    <numFmt formatCode="#,##0" numFmtId="165"/>
    <numFmt formatCode="DD/MM/YY" numFmtId="166"/>
    <numFmt formatCode="0" numFmtId="167"/>
    <numFmt formatCode="0.0" numFmtId="168"/>
    <numFmt formatCode="#,##0.0" numFmtId="169"/>
    <numFmt formatCode="D/M/YY" numFmtId="170"/>
    <numFmt formatCode="DD/MM/YYYY" numFmtId="171"/>
    <numFmt formatCode="0%" numFmtId="172"/>
  </numFmts>
  <fonts count="11">
    <font>
      <name val="Arial"/>
      <charset val="1"/>
      <family val="2"/>
      <color rgb="FF00000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1"/>
      <family val="2"/>
      <color rgb="FF000000"/>
      <sz val="11"/>
    </font>
    <font>
      <name val="Arial"/>
      <charset val="1"/>
      <family val="2"/>
      <b val="true"/>
      <color rgb="FF000000"/>
      <sz val="11"/>
    </font>
    <font>
      <name val="Arial"/>
      <charset val="1"/>
      <family val="2"/>
      <color rgb="FF000000"/>
      <sz val="13"/>
    </font>
    <font>
      <name val="Arial"/>
      <charset val="1"/>
      <family val="2"/>
      <color rgb="FF000000"/>
      <sz val="12"/>
    </font>
    <font>
      <name val="Arial"/>
      <charset val="1"/>
      <family val="2"/>
      <color rgb="FF1F1F1F"/>
      <sz val="9"/>
    </font>
    <font>
      <name val="Arial"/>
      <charset val="1"/>
      <family val="2"/>
      <b val="true"/>
      <color rgb="FFFF0000"/>
      <sz val="11"/>
    </font>
    <font>
      <name val="Arial"/>
      <charset val="1"/>
      <family val="2"/>
      <color rgb="FF000000"/>
      <sz val="9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CCCCCC"/>
        <bgColor rgb="FFD9D2E9"/>
      </patternFill>
    </fill>
    <fill>
      <patternFill patternType="solid">
        <fgColor rgb="FFD9D9D9"/>
        <bgColor rgb="FFD9D2E9"/>
      </patternFill>
    </fill>
    <fill>
      <patternFill patternType="solid">
        <fgColor rgb="FFFFF2CC"/>
        <bgColor rgb="FFFCE5CD"/>
      </patternFill>
    </fill>
    <fill>
      <patternFill patternType="solid">
        <fgColor rgb="FF93C47D"/>
        <bgColor rgb="FFA2C4C9"/>
      </patternFill>
    </fill>
    <fill>
      <patternFill patternType="solid">
        <fgColor rgb="FFD0E0E3"/>
        <bgColor rgb="FFCFE2F3"/>
      </patternFill>
    </fill>
    <fill>
      <patternFill patternType="solid">
        <fgColor rgb="FFA2C4C9"/>
        <bgColor rgb="FF9FC5E8"/>
      </patternFill>
    </fill>
    <fill>
      <patternFill patternType="solid">
        <fgColor rgb="FFFCE5CD"/>
        <bgColor rgb="FFFFF2CC"/>
      </patternFill>
    </fill>
    <fill>
      <patternFill patternType="solid">
        <fgColor rgb="FFF9CB9C"/>
        <bgColor rgb="FFF4CCCC"/>
      </patternFill>
    </fill>
    <fill>
      <patternFill patternType="solid">
        <fgColor rgb="FFFFFF00"/>
        <bgColor rgb="FFFFE599"/>
      </patternFill>
    </fill>
    <fill>
      <patternFill patternType="solid">
        <fgColor rgb="FFEFEFEF"/>
        <bgColor rgb="FFFFF2CC"/>
      </patternFill>
    </fill>
    <fill>
      <patternFill patternType="solid">
        <fgColor rgb="FFFFE599"/>
        <bgColor rgb="FFFCE5CD"/>
      </patternFill>
    </fill>
    <fill>
      <patternFill patternType="solid">
        <fgColor rgb="FFEA9999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9CB9C"/>
      </patternFill>
    </fill>
    <fill>
      <patternFill patternType="solid">
        <fgColor rgb="FFA4C2F4"/>
        <bgColor rgb="FF9FC5E8"/>
      </patternFill>
    </fill>
    <fill>
      <patternFill patternType="solid">
        <fgColor rgb="FFD9EAD3"/>
        <bgColor rgb="FFD0E0E3"/>
      </patternFill>
    </fill>
    <fill>
      <patternFill patternType="solid">
        <fgColor rgb="FFDD7E6B"/>
        <bgColor rgb="FFEA9999"/>
      </patternFill>
    </fill>
    <fill>
      <patternFill patternType="solid">
        <fgColor rgb="FFCFE2F3"/>
        <bgColor rgb="FFD0E0E3"/>
      </patternFill>
    </fill>
    <fill>
      <patternFill patternType="solid">
        <fgColor rgb="FF9FC5E8"/>
        <bgColor rgb="FFA4C2F4"/>
      </patternFill>
    </fill>
    <fill>
      <patternFill patternType="solid">
        <fgColor rgb="FFD9D2E9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C4125"/>
        <bgColor rgb="FF993366"/>
      </patternFill>
    </fill>
  </fills>
  <borders count="13">
    <border diagonalDown="false" diagonalUp="false">
      <left/>
      <right/>
      <top/>
      <bottom/>
      <diagonal/>
    </border>
    <border diagonalDown="false" diagonalUp="false">
      <left/>
      <right/>
      <top/>
      <bottom style="thick"/>
      <diagonal/>
    </border>
    <border diagonalDown="false" diagonalUp="false">
      <left/>
      <right style="thick"/>
      <top/>
      <bottom style="thick"/>
      <diagonal/>
    </border>
    <border diagonalDown="false" diagonalUp="false">
      <left/>
      <right style="thick"/>
      <top style="thick"/>
      <bottom style="thick"/>
      <diagonal/>
    </border>
    <border diagonalDown="false" diagonalUp="false">
      <left style="thick"/>
      <right/>
      <top/>
      <bottom/>
      <diagonal/>
    </border>
    <border diagonalDown="false" diagonalUp="false">
      <left/>
      <right style="thick"/>
      <top/>
      <bottom/>
      <diagonal/>
    </border>
    <border diagonalDown="false" diagonalUp="false">
      <left/>
      <right style="thick"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/>
      <right/>
      <top style="thick"/>
      <bottom style="thick"/>
      <diagonal/>
    </border>
    <border diagonalDown="false" diagonalUp="false">
      <left style="thick"/>
      <right style="thick"/>
      <top/>
      <bottom style="thick"/>
      <diagonal/>
    </border>
    <border diagonalDown="false" diagonalUp="false">
      <left style="thick"/>
      <right/>
      <top style="thick"/>
      <bottom/>
      <diagonal/>
    </border>
    <border diagonalDown="false" diagonalUp="false">
      <left style="thick"/>
      <right/>
      <top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7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0" fontId="4" numFmtId="164" xfId="0">
      <alignment horizontal="right" indent="0" shrinkToFit="false" textRotation="90" vertical="bottom" wrapText="true"/>
      <protection hidden="false" locked="true"/>
    </xf>
    <xf applyAlignment="true" applyBorder="true" applyFont="true" applyProtection="false" borderId="3" fillId="2" fontId="5" numFmtId="164" xfId="0">
      <alignment horizontal="right" indent="0" shrinkToFit="false" textRotation="90" vertical="bottom" wrapText="true"/>
      <protection hidden="false" locked="true"/>
    </xf>
    <xf applyAlignment="true" applyBorder="true" applyFont="true" applyProtection="false" borderId="3" fillId="0" fontId="4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3" fillId="3" fontId="4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3" fillId="4" fontId="5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2" fontId="4" numFmtId="164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3" fillId="5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2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6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4" fillId="7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8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9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5" fillId="10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10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7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11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1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1" fontId="6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11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1" fontId="4" numFmtId="165" xfId="0">
      <alignment horizontal="right" indent="0" shrinkToFit="false" textRotation="90" vertical="bottom" wrapText="false"/>
      <protection hidden="false" locked="true"/>
    </xf>
    <xf applyAlignment="true" applyBorder="false" applyFont="true" applyProtection="false" borderId="0" fillId="11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11" fontId="4" numFmtId="164" xfId="0">
      <alignment horizontal="general" indent="0" shrinkToFit="false" textRotation="90" vertical="bottom" wrapText="false"/>
      <protection hidden="false" locked="true"/>
    </xf>
    <xf applyAlignment="true" applyBorder="false" applyFont="true" applyProtection="false" borderId="0" fillId="11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1" fontId="4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12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5" numFmtId="166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5" fillId="2" fontId="5" numFmtId="166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0" fillId="13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2" fontId="4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5" fillId="2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5" fillId="2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5" fillId="2" fontId="4" numFmtId="165" xfId="0">
      <alignment horizontal="right" indent="0" shrinkToFit="false" textRotation="90" vertical="bottom" wrapText="false"/>
      <protection hidden="false" locked="true"/>
    </xf>
    <xf applyAlignment="true" applyBorder="true" applyFont="true" applyProtection="false" borderId="5" fillId="2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2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12" fontId="7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2" fontId="8" numFmtId="166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2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2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2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6" fillId="2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6" fillId="12" fontId="5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12" fontId="5" numFmtId="166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7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8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12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2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3" fillId="14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3" fillId="2" fontId="4" numFmtId="165" xfId="0">
      <alignment horizontal="right" indent="0" shrinkToFit="false" textRotation="90" vertical="bottom" wrapText="false"/>
      <protection hidden="false" locked="true"/>
    </xf>
    <xf applyAlignment="true" applyBorder="true" applyFont="true" applyProtection="false" borderId="3" fillId="5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5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14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6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12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14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7" fillId="0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7" fillId="0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7" fillId="0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8" fillId="7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8" fillId="2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8" fillId="10" fontId="4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10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2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12" fontId="5" numFmtId="166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2" fillId="0" fontId="4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12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2" fillId="14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2" fillId="2" fontId="4" numFmtId="165" xfId="0">
      <alignment horizontal="right" indent="0" shrinkToFit="false" textRotation="90" vertical="bottom" wrapText="false"/>
      <protection hidden="false" locked="true"/>
    </xf>
    <xf applyAlignment="true" applyBorder="true" applyFont="true" applyProtection="false" borderId="2" fillId="5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2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6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12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15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3" fillId="16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16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6" fillId="16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9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7" fillId="12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8" fillId="9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16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9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2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14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7" fillId="15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1" fillId="12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16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5" fillId="16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7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5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14" fontId="5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0" fontId="4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5" fillId="5" fontId="5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70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9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9" fillId="9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6" fillId="9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7" fillId="12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9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14" fontId="4" numFmtId="165" xfId="0">
      <alignment horizontal="right" indent="0" shrinkToFit="false" textRotation="90" vertical="bottom" wrapText="false"/>
      <protection hidden="false" locked="true"/>
    </xf>
    <xf applyAlignment="true" applyBorder="true" applyFont="true" applyProtection="false" borderId="2" fillId="9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5" fillId="9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17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7" fillId="2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8" fillId="5" fontId="4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4" numFmtId="171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6" fillId="9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9" fontId="7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2" fontId="7" numFmtId="172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2" fontId="8" numFmtId="170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9" fillId="2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2" fontId="4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2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2" fontId="4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0" fillId="10" fontId="4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12" fontId="5" numFmtId="166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6" fillId="12" fontId="5" numFmtId="166" xfId="0">
      <alignment horizontal="right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9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7" fontId="5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5" numFmtId="165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9" fontId="5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12" fontId="5" numFmtId="170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5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5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5" fontId="4" numFmtId="164" xfId="0">
      <alignment horizontal="general" indent="0" shrinkToFit="false" textRotation="90" vertical="bottom" wrapText="false"/>
      <protection hidden="false" locked="true"/>
    </xf>
    <xf applyAlignment="true" applyBorder="false" applyFont="true" applyProtection="false" borderId="0" fillId="5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5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18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18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0" fontId="4" numFmtId="165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6" fillId="12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9" fillId="7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2" fontId="4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12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4" numFmtId="166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13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9" fillId="13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general" indent="0" shrinkToFit="false" textRotation="90" vertical="bottom" wrapText="false"/>
      <protection hidden="false" locked="true"/>
    </xf>
    <xf applyAlignment="true" applyBorder="true" applyFont="true" applyProtection="false" borderId="3" fillId="2" fontId="4" numFmtId="167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3" fillId="2" fontId="4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6" fillId="12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2" fontId="4" numFmtId="167" xfId="0">
      <alignment horizontal="center" indent="0" shrinkToFit="false" textRotation="0" vertical="bottom" wrapText="false"/>
      <protection hidden="false" locked="true"/>
    </xf>
    <xf applyAlignment="false" applyBorder="true" applyFont="true" applyProtection="false" borderId="2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7" fillId="2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2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19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9" fillId="19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12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15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1" fillId="2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1" fillId="14" fontId="10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20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9" fillId="2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9" fillId="2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8" fillId="21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3" fillId="22" fontId="7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9" fillId="22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9" fillId="18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3" fillId="2" fontId="4" numFmtId="165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8" fillId="8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2" fillId="2" fontId="4" numFmtId="165" xfId="0">
      <alignment horizontal="righ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1" fillId="2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7" fillId="20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0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8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9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9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0" fontId="4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5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4" fillId="20" fontId="5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20" fontId="4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8" fontId="4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9" fontId="4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9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10" fontId="4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1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7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2" fillId="20" fontId="5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2" fontId="5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15" fontId="5" numFmtId="165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20" fontId="5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22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5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0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8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9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9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0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7" fontId="5" numFmtId="165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0" fillId="0" fontId="4" numFmtId="164" xfId="0">
      <alignment horizontal="left" indent="0" shrinkToFit="false" textRotation="90" vertical="bottom" wrapText="true"/>
      <protection hidden="false" locked="true"/>
    </xf>
    <xf applyAlignment="true" applyBorder="true" applyFont="true" applyProtection="false" borderId="8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0" fontId="4" numFmtId="165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16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9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23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13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24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22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8" fillId="2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14" fontId="4" numFmtId="165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D9D9D9"/>
      <rgbColor rgb="FFA4C2F4"/>
      <rgbColor rgb="FF993366"/>
      <rgbColor rgb="FFFFF2CC"/>
      <rgbColor rgb="FFCFE2F3"/>
      <rgbColor rgb="FF660066"/>
      <rgbColor rgb="FFDD7E6B"/>
      <rgbColor rgb="FF0066CC"/>
      <rgbColor rgb="FFD9D2E9"/>
      <rgbColor rgb="FF000080"/>
      <rgbColor rgb="FFFF00FF"/>
      <rgbColor rgb="FFFCE5CD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FE599"/>
      <rgbColor rgb="FF9FC5E8"/>
      <rgbColor rgb="FFEA9999"/>
      <rgbColor rgb="FFA2C4C9"/>
      <rgbColor rgb="FFF9CB9C"/>
      <rgbColor rgb="FF3366FF"/>
      <rgbColor rgb="FFD0E0E3"/>
      <rgbColor rgb="FFB6D7A8"/>
      <rgbColor rgb="FFF4CCCC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CC4125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BB1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Q30" activeCellId="0" pane="topLeft" sqref="Q30:AT30"/>
    </sheetView>
  </sheetViews>
  <sheetFormatPr defaultRowHeight="15.75"/>
  <cols>
    <col collapsed="false" hidden="true" max="2" min="1" style="0" width="0"/>
    <col collapsed="false" hidden="false" max="3" min="3" style="0" width="3.87755102040816"/>
    <col collapsed="false" hidden="false" max="4" min="4" style="0" width="12.8775510204082"/>
    <col collapsed="false" hidden="false" max="5" min="5" style="0" width="12.3724489795918"/>
    <col collapsed="false" hidden="false" max="6" min="6" style="0" width="12.75"/>
    <col collapsed="false" hidden="false" max="7" min="7" style="0" width="11.2755102040816"/>
    <col collapsed="false" hidden="false" max="8" min="8" style="0" width="8.87244897959184"/>
    <col collapsed="false" hidden="false" max="9" min="9" style="0" width="8.12755102040816"/>
    <col collapsed="false" hidden="false" max="10" min="10" style="0" width="5.00510204081633"/>
    <col collapsed="false" hidden="false" max="11" min="11" style="0" width="4.5"/>
    <col collapsed="false" hidden="false" max="12" min="12" style="0" width="3.99489795918367"/>
    <col collapsed="false" hidden="false" max="13" min="13" style="0" width="6.75"/>
    <col collapsed="false" hidden="false" max="14" min="14" style="0" width="11.9948979591837"/>
    <col collapsed="false" hidden="false" max="15" min="15" style="0" width="6.24489795918367"/>
    <col collapsed="false" hidden="false" max="16" min="16" style="0" width="8.37755102040816"/>
    <col collapsed="false" hidden="false" max="17" min="17" style="0" width="6.62244897959184"/>
    <col collapsed="false" hidden="true" max="18" min="18" style="0" width="0"/>
    <col collapsed="false" hidden="false" max="19" min="19" style="0" width="4.62755102040816"/>
    <col collapsed="false" hidden="false" max="22" min="20" style="0" width="2.87755102040816"/>
    <col collapsed="false" hidden="false" max="23" min="23" style="0" width="4.62755102040816"/>
    <col collapsed="false" hidden="false" max="24" min="24" style="0" width="8.25"/>
    <col collapsed="false" hidden="false" max="25" min="25" style="0" width="6.24489795918367"/>
    <col collapsed="false" hidden="false" max="26" min="26" style="0" width="8.12755102040816"/>
    <col collapsed="false" hidden="false" max="27" min="27" style="0" width="9.37755102040816"/>
    <col collapsed="false" hidden="false" max="28" min="28" style="0" width="8"/>
    <col collapsed="false" hidden="false" max="29" min="29" style="0" width="10.6275510204082"/>
    <col collapsed="false" hidden="false" max="30" min="30" style="0" width="10.5"/>
    <col collapsed="false" hidden="false" max="31" min="31" style="0" width="10.7551020408163"/>
    <col collapsed="false" hidden="false" max="32" min="32" style="0" width="8"/>
    <col collapsed="false" hidden="false" max="33" min="33" style="0" width="15.4948979591837"/>
    <col collapsed="false" hidden="false" max="54" min="34" style="0" width="12.5"/>
    <col collapsed="false" hidden="false" max="1025" min="55" style="0" width="12.6275510204082"/>
  </cols>
  <sheetData>
    <row collapsed="false" customFormat="false" customHeight="true" hidden="false" ht="126" outlineLevel="0" r="1">
      <c r="A1" s="1" t="s">
        <v>0</v>
      </c>
      <c r="B1" s="1"/>
      <c r="C1" s="1"/>
      <c r="D1" s="1" t="s">
        <v>1</v>
      </c>
      <c r="E1" s="2"/>
      <c r="F1" s="2" t="s">
        <v>2</v>
      </c>
      <c r="G1" s="2"/>
      <c r="H1" s="3" t="s">
        <v>3</v>
      </c>
      <c r="I1" s="4" t="s">
        <v>4</v>
      </c>
      <c r="J1" s="5" t="s">
        <v>5</v>
      </c>
      <c r="K1" s="6" t="s">
        <v>6</v>
      </c>
      <c r="L1" s="5" t="s">
        <v>7</v>
      </c>
      <c r="M1" s="7" t="s">
        <v>8</v>
      </c>
      <c r="N1" s="7" t="s">
        <v>9</v>
      </c>
      <c r="O1" s="8" t="s">
        <v>10</v>
      </c>
      <c r="P1" s="8" t="s">
        <v>11</v>
      </c>
      <c r="Q1" s="9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1" t="s">
        <v>19</v>
      </c>
      <c r="Y1" s="11" t="s">
        <v>20</v>
      </c>
      <c r="Z1" s="12" t="s">
        <v>21</v>
      </c>
      <c r="AA1" s="13" t="s">
        <v>22</v>
      </c>
      <c r="AB1" s="12" t="s">
        <v>23</v>
      </c>
      <c r="AC1" s="4" t="s">
        <v>24</v>
      </c>
      <c r="AD1" s="2" t="s">
        <v>25</v>
      </c>
      <c r="AE1" s="2" t="s">
        <v>26</v>
      </c>
      <c r="AF1" s="2" t="s">
        <v>27</v>
      </c>
      <c r="AG1" s="14" t="s">
        <v>28</v>
      </c>
      <c r="AH1" s="2" t="s">
        <v>29</v>
      </c>
      <c r="AI1" s="15" t="s">
        <v>30</v>
      </c>
      <c r="AJ1" s="16" t="s">
        <v>31</v>
      </c>
      <c r="AK1" s="17" t="s">
        <v>32</v>
      </c>
      <c r="AL1" s="17"/>
      <c r="AM1" s="18" t="s">
        <v>33</v>
      </c>
      <c r="AN1" s="19"/>
      <c r="AO1" s="20" t="s">
        <v>34</v>
      </c>
      <c r="AP1" s="16" t="s">
        <v>35</v>
      </c>
      <c r="AQ1" s="17" t="s">
        <v>36</v>
      </c>
      <c r="AR1" s="19" t="s">
        <v>33</v>
      </c>
      <c r="AS1" s="21"/>
      <c r="AT1" s="21"/>
      <c r="AU1" s="21"/>
      <c r="AV1" s="21"/>
      <c r="AW1" s="21"/>
      <c r="AX1" s="21"/>
      <c r="AY1" s="21"/>
      <c r="AZ1" s="21"/>
      <c r="BA1" s="21"/>
      <c r="BB1" s="21"/>
    </row>
    <row collapsed="false" customFormat="false" customHeight="true" hidden="false" ht="15.75" outlineLevel="0" r="2">
      <c r="A2" s="22" t="s">
        <v>37</v>
      </c>
      <c r="B2" s="22"/>
      <c r="C2" s="22"/>
      <c r="D2" s="22" t="s">
        <v>38</v>
      </c>
      <c r="E2" s="23"/>
      <c r="F2" s="23"/>
      <c r="G2" s="22"/>
      <c r="H2" s="22"/>
      <c r="I2" s="24" t="s">
        <v>39</v>
      </c>
      <c r="J2" s="25"/>
      <c r="K2" s="25"/>
      <c r="L2" s="26"/>
      <c r="M2" s="27"/>
      <c r="N2" s="27"/>
      <c r="O2" s="27"/>
      <c r="P2" s="27"/>
      <c r="Q2" s="27"/>
      <c r="R2" s="27"/>
      <c r="S2" s="27"/>
      <c r="T2" s="27"/>
      <c r="U2" s="28" t="n">
        <v>120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9"/>
      <c r="AG2" s="27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1"/>
      <c r="AV2" s="21"/>
      <c r="AW2" s="21"/>
      <c r="AX2" s="21"/>
      <c r="AY2" s="21"/>
      <c r="AZ2" s="21"/>
      <c r="BA2" s="21"/>
      <c r="BB2" s="21"/>
    </row>
    <row collapsed="false" customFormat="false" customHeight="true" hidden="false" ht="15.75" outlineLevel="0" r="3">
      <c r="A3" s="32"/>
      <c r="B3" s="32"/>
      <c r="C3" s="33"/>
      <c r="D3" s="34"/>
      <c r="E3" s="35"/>
      <c r="F3" s="35"/>
      <c r="G3" s="36"/>
      <c r="H3" s="37"/>
      <c r="I3" s="37"/>
      <c r="J3" s="38" t="s">
        <v>40</v>
      </c>
      <c r="K3" s="38"/>
      <c r="L3" s="38"/>
      <c r="M3" s="38"/>
      <c r="N3" s="38"/>
      <c r="O3" s="38"/>
      <c r="P3" s="39"/>
      <c r="Q3" s="40"/>
      <c r="R3" s="41"/>
      <c r="S3" s="41"/>
      <c r="T3" s="41"/>
      <c r="U3" s="41"/>
      <c r="V3" s="41"/>
      <c r="W3" s="42"/>
      <c r="X3" s="40"/>
      <c r="Y3" s="43"/>
      <c r="Z3" s="40"/>
      <c r="AA3" s="40"/>
      <c r="AB3" s="43"/>
      <c r="AC3" s="44"/>
      <c r="AD3" s="45"/>
      <c r="AE3" s="45"/>
      <c r="AF3" s="46"/>
      <c r="AG3" s="45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8"/>
      <c r="AV3" s="21"/>
      <c r="AW3" s="21"/>
      <c r="AX3" s="21"/>
      <c r="AY3" s="21"/>
      <c r="AZ3" s="21"/>
      <c r="BA3" s="21"/>
      <c r="BB3" s="21"/>
    </row>
    <row collapsed="false" customFormat="false" customHeight="true" hidden="false" ht="15.75" outlineLevel="0" r="4">
      <c r="A4" s="49" t="n">
        <v>44927</v>
      </c>
      <c r="B4" s="32"/>
      <c r="C4" s="50" t="n">
        <v>1</v>
      </c>
      <c r="D4" s="51" t="s">
        <v>41</v>
      </c>
      <c r="E4" s="52" t="s">
        <v>42</v>
      </c>
      <c r="F4" s="53" t="s">
        <v>43</v>
      </c>
      <c r="G4" s="54" t="s">
        <v>44</v>
      </c>
      <c r="H4" s="55" t="n">
        <v>45992</v>
      </c>
      <c r="I4" s="55" t="n">
        <v>46006</v>
      </c>
      <c r="J4" s="56" t="n">
        <v>88</v>
      </c>
      <c r="K4" s="57"/>
      <c r="L4" s="57"/>
      <c r="M4" s="58" t="n">
        <f aca="false">N4/O4/8</f>
        <v>303.977272727273</v>
      </c>
      <c r="N4" s="59" t="n">
        <v>53500</v>
      </c>
      <c r="O4" s="60" t="n">
        <v>22</v>
      </c>
      <c r="P4" s="59" t="n">
        <f aca="false">(J4+K4+L4)*M4</f>
        <v>26750</v>
      </c>
      <c r="Q4" s="61" t="n">
        <v>24500</v>
      </c>
      <c r="R4" s="62"/>
      <c r="S4" s="62" t="n">
        <v>43651.58</v>
      </c>
      <c r="T4" s="62"/>
      <c r="U4" s="63" t="n">
        <v>1320</v>
      </c>
      <c r="V4" s="63" t="n">
        <v>10700</v>
      </c>
      <c r="W4" s="64"/>
      <c r="X4" s="65" t="n">
        <f aca="false">SUM(P4:W4)</f>
        <v>106921.58</v>
      </c>
      <c r="Y4" s="66"/>
      <c r="Z4" s="67" t="n">
        <v>-29</v>
      </c>
      <c r="AA4" s="68" t="n">
        <f aca="false">X4+Y4+Z4</f>
        <v>106892.58</v>
      </c>
      <c r="AB4" s="69" t="n">
        <v>43894</v>
      </c>
      <c r="AC4" s="70" t="n">
        <v>21750</v>
      </c>
      <c r="AD4" s="71" t="n">
        <v>41000</v>
      </c>
      <c r="AE4" s="71" t="n">
        <f aca="false">AC4+AD4+AB4</f>
        <v>106644</v>
      </c>
      <c r="AF4" s="72" t="n">
        <f aca="false">AE4+AE5</f>
        <v>120120.73</v>
      </c>
      <c r="AG4" s="71" t="n">
        <v>248.580000000002</v>
      </c>
      <c r="AH4" s="73"/>
      <c r="AI4" s="74" t="n">
        <f aca="false">AD4</f>
        <v>41000</v>
      </c>
      <c r="AJ4" s="75"/>
      <c r="AK4" s="75"/>
      <c r="AL4" s="75"/>
      <c r="AM4" s="76" t="n">
        <f aca="false">AC4</f>
        <v>21750</v>
      </c>
      <c r="AN4" s="76"/>
      <c r="AO4" s="74" t="n">
        <f aca="false">AD5</f>
        <v>11500</v>
      </c>
      <c r="AP4" s="75"/>
      <c r="AQ4" s="75"/>
      <c r="AR4" s="75"/>
      <c r="AS4" s="76" t="n">
        <f aca="false">AC5</f>
        <v>1976.73</v>
      </c>
      <c r="AT4" s="77"/>
      <c r="AU4" s="31"/>
      <c r="AV4" s="21"/>
      <c r="AW4" s="21"/>
      <c r="AX4" s="21"/>
      <c r="AY4" s="21"/>
      <c r="AZ4" s="21"/>
      <c r="BA4" s="21"/>
      <c r="BB4" s="21"/>
    </row>
    <row collapsed="false" customFormat="false" customHeight="true" hidden="false" ht="15.75" outlineLevel="0" r="5">
      <c r="A5" s="32"/>
      <c r="B5" s="32"/>
      <c r="C5" s="50"/>
      <c r="D5" s="51"/>
      <c r="E5" s="51"/>
      <c r="F5" s="78"/>
      <c r="G5" s="54" t="s">
        <v>44</v>
      </c>
      <c r="H5" s="79" t="n">
        <v>46007</v>
      </c>
      <c r="I5" s="79" t="n">
        <v>46022</v>
      </c>
      <c r="J5" s="80" t="n">
        <v>8</v>
      </c>
      <c r="K5" s="81"/>
      <c r="L5" s="82"/>
      <c r="M5" s="58" t="n">
        <f aca="false">N5/O5/8</f>
        <v>303.977272727273</v>
      </c>
      <c r="N5" s="83" t="n">
        <v>53500</v>
      </c>
      <c r="O5" s="60" t="n">
        <v>22</v>
      </c>
      <c r="P5" s="83" t="n">
        <f aca="false">(J5+K5+L5)*M5</f>
        <v>2431.81818181818</v>
      </c>
      <c r="Q5" s="84"/>
      <c r="R5" s="85"/>
      <c r="S5" s="85"/>
      <c r="T5" s="85"/>
      <c r="U5" s="86" t="n">
        <v>120</v>
      </c>
      <c r="V5" s="86" t="n">
        <v>10700</v>
      </c>
      <c r="W5" s="87"/>
      <c r="X5" s="88" t="n">
        <f aca="false">SUM(P5:W5)</f>
        <v>13251.8181818182</v>
      </c>
      <c r="Y5" s="88"/>
      <c r="Z5" s="89" t="n">
        <f aca="false">AG4</f>
        <v>248.580000000002</v>
      </c>
      <c r="AA5" s="90" t="n">
        <f aca="false">X5+Y5+Z5</f>
        <v>13500.3981818182</v>
      </c>
      <c r="AB5" s="91"/>
      <c r="AC5" s="70" t="n">
        <v>1976.73</v>
      </c>
      <c r="AD5" s="92" t="n">
        <v>11500</v>
      </c>
      <c r="AE5" s="92" t="n">
        <f aca="false">AC5+AD5+AB5</f>
        <v>13476.73</v>
      </c>
      <c r="AF5" s="92"/>
      <c r="AG5" s="93" t="n">
        <v>23.6681818181842</v>
      </c>
      <c r="AH5" s="14"/>
      <c r="AI5" s="74"/>
      <c r="AJ5" s="75"/>
      <c r="AK5" s="75"/>
      <c r="AL5" s="75"/>
      <c r="AM5" s="76"/>
      <c r="AN5" s="76"/>
      <c r="AO5" s="74"/>
      <c r="AP5" s="74"/>
      <c r="AQ5" s="74"/>
      <c r="AR5" s="75"/>
      <c r="AS5" s="76"/>
      <c r="AT5" s="77"/>
      <c r="AU5" s="48"/>
      <c r="AV5" s="21"/>
      <c r="AW5" s="21"/>
      <c r="AX5" s="21"/>
      <c r="AY5" s="21"/>
      <c r="AZ5" s="21"/>
      <c r="BA5" s="21"/>
      <c r="BB5" s="21"/>
    </row>
    <row collapsed="false" customFormat="false" customHeight="true" hidden="false" ht="15.75" outlineLevel="0" r="6">
      <c r="A6" s="49" t="n">
        <v>44986</v>
      </c>
      <c r="B6" s="32"/>
      <c r="C6" s="50" t="n">
        <v>2</v>
      </c>
      <c r="D6" s="94" t="s">
        <v>45</v>
      </c>
      <c r="E6" s="95" t="s">
        <v>46</v>
      </c>
      <c r="F6" s="96" t="s">
        <v>47</v>
      </c>
      <c r="G6" s="54" t="s">
        <v>44</v>
      </c>
      <c r="H6" s="55" t="n">
        <v>45992</v>
      </c>
      <c r="I6" s="55" t="n">
        <v>46006</v>
      </c>
      <c r="J6" s="56" t="n">
        <v>15.5</v>
      </c>
      <c r="K6" s="57"/>
      <c r="L6" s="97"/>
      <c r="M6" s="58" t="n">
        <v>287</v>
      </c>
      <c r="N6" s="59"/>
      <c r="O6" s="60" t="n">
        <v>22</v>
      </c>
      <c r="P6" s="59" t="n">
        <f aca="false">(J6+K6+L6)*M6</f>
        <v>4448.5</v>
      </c>
      <c r="Q6" s="61" t="n">
        <v>28500</v>
      </c>
      <c r="R6" s="62"/>
      <c r="S6" s="62" t="n">
        <v>35848</v>
      </c>
      <c r="T6" s="62"/>
      <c r="U6" s="63" t="n">
        <v>240</v>
      </c>
      <c r="V6" s="63" t="n">
        <v>5350</v>
      </c>
      <c r="W6" s="64"/>
      <c r="X6" s="65" t="n">
        <f aca="false">P6+Q6+R6+S6+T6+U6+V6+W6</f>
        <v>74386.5</v>
      </c>
      <c r="Y6" s="66"/>
      <c r="Z6" s="67" t="n">
        <v>131</v>
      </c>
      <c r="AA6" s="90" t="n">
        <f aca="false">X6+Y6+Z6</f>
        <v>74517.5</v>
      </c>
      <c r="AB6" s="69" t="n">
        <v>35705</v>
      </c>
      <c r="AC6" s="70" t="n">
        <v>2373.27</v>
      </c>
      <c r="AD6" s="71" t="n">
        <v>36500</v>
      </c>
      <c r="AE6" s="71" t="n">
        <f aca="false">AC6+AD6+AB6</f>
        <v>74578.27</v>
      </c>
      <c r="AF6" s="72" t="n">
        <f aca="false">AE6+AE7</f>
        <v>101441.64</v>
      </c>
      <c r="AG6" s="71" t="n">
        <v>-60.7699999999895</v>
      </c>
      <c r="AH6" s="98"/>
      <c r="AI6" s="74" t="n">
        <f aca="false">AD6</f>
        <v>36500</v>
      </c>
      <c r="AJ6" s="75"/>
      <c r="AK6" s="99" t="n">
        <f aca="false">AC6</f>
        <v>2373.27</v>
      </c>
      <c r="AL6" s="99"/>
      <c r="AM6" s="75"/>
      <c r="AN6" s="75"/>
      <c r="AO6" s="74" t="n">
        <f aca="false">AD7</f>
        <v>15000</v>
      </c>
      <c r="AP6" s="75"/>
      <c r="AQ6" s="99" t="n">
        <f aca="false">AC7</f>
        <v>11863.37</v>
      </c>
      <c r="AR6" s="99"/>
      <c r="AS6" s="75"/>
      <c r="AT6" s="47"/>
      <c r="AU6" s="31"/>
      <c r="AV6" s="21"/>
      <c r="AW6" s="21"/>
      <c r="AX6" s="21"/>
      <c r="AY6" s="21"/>
      <c r="AZ6" s="21"/>
      <c r="BA6" s="21"/>
      <c r="BB6" s="21"/>
    </row>
    <row collapsed="false" customFormat="false" customHeight="true" hidden="false" ht="15.75" outlineLevel="0" r="7">
      <c r="A7" s="32"/>
      <c r="B7" s="32"/>
      <c r="C7" s="50"/>
      <c r="D7" s="94"/>
      <c r="E7" s="94"/>
      <c r="F7" s="100"/>
      <c r="G7" s="54" t="s">
        <v>44</v>
      </c>
      <c r="H7" s="79" t="n">
        <v>46007</v>
      </c>
      <c r="I7" s="79" t="n">
        <v>46022</v>
      </c>
      <c r="J7" s="80" t="n">
        <v>56</v>
      </c>
      <c r="K7" s="81"/>
      <c r="L7" s="101" t="n">
        <v>16</v>
      </c>
      <c r="M7" s="58" t="n">
        <v>287</v>
      </c>
      <c r="N7" s="83"/>
      <c r="O7" s="60" t="n">
        <v>22</v>
      </c>
      <c r="P7" s="83" t="n">
        <f aca="false">(J7+K7+L7)*M7</f>
        <v>20664</v>
      </c>
      <c r="Q7" s="84"/>
      <c r="R7" s="85"/>
      <c r="S7" s="85"/>
      <c r="T7" s="85"/>
      <c r="U7" s="86" t="n">
        <f aca="false">9*120</f>
        <v>1080</v>
      </c>
      <c r="V7" s="86" t="n">
        <v>5350</v>
      </c>
      <c r="W7" s="87"/>
      <c r="X7" s="65" t="n">
        <f aca="false">P7+Q7+R7+S7+T7+U7+V7+W7</f>
        <v>27094</v>
      </c>
      <c r="Y7" s="88"/>
      <c r="Z7" s="89" t="n">
        <f aca="false">AG6</f>
        <v>-60.7699999999895</v>
      </c>
      <c r="AA7" s="68" t="n">
        <f aca="false">X7+Y7+Z7</f>
        <v>27033.23</v>
      </c>
      <c r="AB7" s="102"/>
      <c r="AC7" s="103" t="n">
        <v>11863.37</v>
      </c>
      <c r="AD7" s="92" t="n">
        <v>15000</v>
      </c>
      <c r="AE7" s="92" t="n">
        <f aca="false">AC7+AD7+AB7</f>
        <v>26863.37</v>
      </c>
      <c r="AF7" s="92"/>
      <c r="AG7" s="104" t="n">
        <v>169.860000000008</v>
      </c>
      <c r="AH7" s="105"/>
      <c r="AI7" s="74"/>
      <c r="AJ7" s="75"/>
      <c r="AK7" s="75"/>
      <c r="AL7" s="99"/>
      <c r="AM7" s="75"/>
      <c r="AN7" s="75"/>
      <c r="AO7" s="74"/>
      <c r="AP7" s="74"/>
      <c r="AQ7" s="74"/>
      <c r="AR7" s="99"/>
      <c r="AS7" s="75"/>
      <c r="AT7" s="47"/>
      <c r="AU7" s="48"/>
      <c r="AV7" s="21"/>
      <c r="AW7" s="21"/>
      <c r="AX7" s="21"/>
      <c r="AY7" s="21"/>
      <c r="AZ7" s="21"/>
      <c r="BA7" s="21"/>
      <c r="BB7" s="21"/>
    </row>
    <row collapsed="false" customFormat="false" customHeight="true" hidden="false" ht="15.75" outlineLevel="0" r="8">
      <c r="A8" s="49" t="n">
        <v>45415</v>
      </c>
      <c r="B8" s="32"/>
      <c r="C8" s="50" t="n">
        <v>3</v>
      </c>
      <c r="D8" s="106" t="s">
        <v>48</v>
      </c>
      <c r="E8" s="95" t="s">
        <v>46</v>
      </c>
      <c r="F8" s="107" t="s">
        <v>49</v>
      </c>
      <c r="G8" s="54" t="s">
        <v>44</v>
      </c>
      <c r="H8" s="55" t="n">
        <v>45992</v>
      </c>
      <c r="I8" s="55" t="n">
        <v>46006</v>
      </c>
      <c r="J8" s="80" t="n">
        <v>87.5</v>
      </c>
      <c r="K8" s="81"/>
      <c r="L8" s="101"/>
      <c r="M8" s="108" t="n">
        <v>287</v>
      </c>
      <c r="N8" s="83"/>
      <c r="O8" s="60" t="n">
        <v>22</v>
      </c>
      <c r="P8" s="83" t="n">
        <f aca="false">(J8+K8+L8)*M8</f>
        <v>25112.5</v>
      </c>
      <c r="Q8" s="84" t="n">
        <v>27000</v>
      </c>
      <c r="R8" s="85"/>
      <c r="S8" s="85"/>
      <c r="T8" s="85"/>
      <c r="U8" s="85"/>
      <c r="V8" s="85"/>
      <c r="W8" s="87"/>
      <c r="X8" s="88" t="n">
        <f aca="false">SUM(P8:W8)</f>
        <v>52112.5</v>
      </c>
      <c r="Y8" s="109"/>
      <c r="Z8" s="110" t="n">
        <v>-261</v>
      </c>
      <c r="AA8" s="68" t="n">
        <f aca="false">X8+Y8+Z8</f>
        <v>51851.5</v>
      </c>
      <c r="AB8" s="91"/>
      <c r="AC8" s="111"/>
      <c r="AD8" s="112" t="n">
        <v>52000</v>
      </c>
      <c r="AE8" s="112" t="n">
        <f aca="false">AC8+AD8+AB8</f>
        <v>52000</v>
      </c>
      <c r="AF8" s="113" t="n">
        <f aca="false">AE8+AE9</f>
        <v>81500</v>
      </c>
      <c r="AG8" s="71" t="n">
        <v>-148.5</v>
      </c>
      <c r="AH8" s="31"/>
      <c r="AI8" s="74" t="n">
        <f aca="false">AD8</f>
        <v>52000</v>
      </c>
      <c r="AJ8" s="75"/>
      <c r="AK8" s="75" t="n">
        <f aca="false">AC8</f>
        <v>0</v>
      </c>
      <c r="AL8" s="75"/>
      <c r="AM8" s="76" t="n">
        <f aca="false">AC8</f>
        <v>0</v>
      </c>
      <c r="AN8" s="75"/>
      <c r="AO8" s="74" t="n">
        <f aca="false">AD9</f>
        <v>29500</v>
      </c>
      <c r="AP8" s="75"/>
      <c r="AQ8" s="75" t="n">
        <f aca="false">AC9</f>
        <v>0</v>
      </c>
      <c r="AR8" s="75"/>
      <c r="AS8" s="75"/>
      <c r="AT8" s="47"/>
      <c r="AU8" s="31"/>
      <c r="AV8" s="21"/>
      <c r="AW8" s="21"/>
      <c r="AX8" s="21"/>
      <c r="AY8" s="21"/>
      <c r="AZ8" s="21"/>
      <c r="BA8" s="21"/>
      <c r="BB8" s="21"/>
    </row>
    <row collapsed="false" customFormat="false" customHeight="true" hidden="false" ht="15.75" outlineLevel="0" r="9">
      <c r="A9" s="32"/>
      <c r="B9" s="32"/>
      <c r="C9" s="50"/>
      <c r="D9" s="106"/>
      <c r="E9" s="106"/>
      <c r="F9" s="100"/>
      <c r="G9" s="54" t="s">
        <v>44</v>
      </c>
      <c r="H9" s="79" t="n">
        <v>46007</v>
      </c>
      <c r="I9" s="79" t="n">
        <v>46022</v>
      </c>
      <c r="J9" s="80" t="n">
        <v>88</v>
      </c>
      <c r="K9" s="81"/>
      <c r="L9" s="101" t="n">
        <v>16</v>
      </c>
      <c r="M9" s="108" t="n">
        <v>287</v>
      </c>
      <c r="N9" s="83"/>
      <c r="O9" s="60" t="n">
        <v>22</v>
      </c>
      <c r="P9" s="114" t="n">
        <f aca="false">(J9+K9+L9)*M9</f>
        <v>29848</v>
      </c>
      <c r="Q9" s="84"/>
      <c r="R9" s="85"/>
      <c r="S9" s="85"/>
      <c r="T9" s="85"/>
      <c r="U9" s="85"/>
      <c r="V9" s="85"/>
      <c r="W9" s="87"/>
      <c r="X9" s="115" t="n">
        <f aca="false">SUM(P9:W9)</f>
        <v>29848</v>
      </c>
      <c r="Y9" s="88"/>
      <c r="Z9" s="89" t="n">
        <f aca="false">AG8</f>
        <v>-148.5</v>
      </c>
      <c r="AA9" s="68" t="n">
        <f aca="false">X9+Y9+Z9</f>
        <v>29699.5</v>
      </c>
      <c r="AB9" s="91"/>
      <c r="AC9" s="111"/>
      <c r="AD9" s="92" t="n">
        <v>29500</v>
      </c>
      <c r="AE9" s="112" t="n">
        <f aca="false">AC9+AD9+AB9</f>
        <v>29500</v>
      </c>
      <c r="AF9" s="113" t="n">
        <f aca="false">AC9+AB9+AD9</f>
        <v>29500</v>
      </c>
      <c r="AG9" s="104" t="n">
        <v>199.5</v>
      </c>
      <c r="AH9" s="105"/>
      <c r="AI9" s="74"/>
      <c r="AJ9" s="75"/>
      <c r="AK9" s="75"/>
      <c r="AL9" s="75"/>
      <c r="AM9" s="76"/>
      <c r="AN9" s="75"/>
      <c r="AO9" s="74"/>
      <c r="AP9" s="74"/>
      <c r="AQ9" s="74"/>
      <c r="AR9" s="75"/>
      <c r="AS9" s="75"/>
      <c r="AT9" s="47"/>
      <c r="AU9" s="48"/>
      <c r="AV9" s="21"/>
      <c r="AW9" s="21"/>
      <c r="AX9" s="21"/>
      <c r="AY9" s="21"/>
      <c r="AZ9" s="21"/>
      <c r="BA9" s="21"/>
      <c r="BB9" s="21"/>
    </row>
    <row collapsed="false" customFormat="false" customHeight="true" hidden="false" ht="15.75" outlineLevel="0" r="10">
      <c r="A10" s="49" t="n">
        <v>45426</v>
      </c>
      <c r="B10" s="32"/>
      <c r="C10" s="50" t="n">
        <v>4</v>
      </c>
      <c r="D10" s="106" t="s">
        <v>50</v>
      </c>
      <c r="E10" s="95" t="s">
        <v>46</v>
      </c>
      <c r="F10" s="107" t="s">
        <v>49</v>
      </c>
      <c r="G10" s="54" t="s">
        <v>44</v>
      </c>
      <c r="H10" s="55" t="n">
        <v>45992</v>
      </c>
      <c r="I10" s="55" t="n">
        <v>46006</v>
      </c>
      <c r="J10" s="80" t="n">
        <v>72</v>
      </c>
      <c r="K10" s="101"/>
      <c r="L10" s="101"/>
      <c r="M10" s="108" t="n">
        <v>287</v>
      </c>
      <c r="N10" s="83"/>
      <c r="O10" s="60" t="n">
        <v>22</v>
      </c>
      <c r="P10" s="83" t="n">
        <f aca="false">(J10+K10+L10)*M10</f>
        <v>20664</v>
      </c>
      <c r="Q10" s="84" t="n">
        <v>25500</v>
      </c>
      <c r="R10" s="85"/>
      <c r="S10" s="85" t="n">
        <v>28421.26</v>
      </c>
      <c r="T10" s="85"/>
      <c r="U10" s="85"/>
      <c r="V10" s="85"/>
      <c r="W10" s="87"/>
      <c r="X10" s="88" t="n">
        <f aca="false">SUM(P10:W10)</f>
        <v>74585.26</v>
      </c>
      <c r="Y10" s="109"/>
      <c r="Z10" s="110" t="n">
        <v>-57</v>
      </c>
      <c r="AA10" s="68" t="n">
        <f aca="false">X10+Y10+Z10</f>
        <v>74528.26</v>
      </c>
      <c r="AB10" s="102" t="n">
        <v>74500</v>
      </c>
      <c r="AC10" s="111"/>
      <c r="AD10" s="112"/>
      <c r="AE10" s="112" t="n">
        <f aca="false">AC10+AD10+AB10</f>
        <v>74500</v>
      </c>
      <c r="AF10" s="113" t="n">
        <f aca="false">AE10+AE11</f>
        <v>83500</v>
      </c>
      <c r="AG10" s="71" t="n">
        <v>28.2599999999948</v>
      </c>
      <c r="AH10" s="48"/>
      <c r="AI10" s="74" t="n">
        <f aca="false">AD10</f>
        <v>0</v>
      </c>
      <c r="AJ10" s="75"/>
      <c r="AK10" s="75" t="n">
        <f aca="false">AC10</f>
        <v>0</v>
      </c>
      <c r="AL10" s="75"/>
      <c r="AM10" s="76" t="n">
        <f aca="false">AC10</f>
        <v>0</v>
      </c>
      <c r="AN10" s="75"/>
      <c r="AO10" s="74" t="n">
        <f aca="false">AD11</f>
        <v>9000</v>
      </c>
      <c r="AP10" s="75"/>
      <c r="AQ10" s="75" t="n">
        <f aca="false">AC11</f>
        <v>0</v>
      </c>
      <c r="AR10" s="75"/>
      <c r="AS10" s="75"/>
      <c r="AT10" s="47"/>
      <c r="AU10" s="31"/>
      <c r="AV10" s="21"/>
      <c r="AW10" s="21"/>
      <c r="AX10" s="21"/>
      <c r="AY10" s="21"/>
      <c r="AZ10" s="21"/>
      <c r="BA10" s="21"/>
      <c r="BB10" s="21"/>
    </row>
    <row collapsed="false" customFormat="false" customHeight="true" hidden="false" ht="15.75" outlineLevel="0" r="11">
      <c r="A11" s="32"/>
      <c r="B11" s="32"/>
      <c r="C11" s="50"/>
      <c r="D11" s="106"/>
      <c r="E11" s="95"/>
      <c r="F11" s="100"/>
      <c r="G11" s="54" t="s">
        <v>44</v>
      </c>
      <c r="H11" s="79" t="n">
        <v>46007</v>
      </c>
      <c r="I11" s="79" t="n">
        <v>46022</v>
      </c>
      <c r="J11" s="80"/>
      <c r="K11" s="81"/>
      <c r="L11" s="101" t="n">
        <v>32</v>
      </c>
      <c r="M11" s="108" t="n">
        <v>287</v>
      </c>
      <c r="N11" s="83"/>
      <c r="O11" s="60" t="n">
        <v>22</v>
      </c>
      <c r="P11" s="83" t="n">
        <f aca="false">(J11+K11+L11)*M11</f>
        <v>9184</v>
      </c>
      <c r="Q11" s="84"/>
      <c r="R11" s="85"/>
      <c r="S11" s="85"/>
      <c r="T11" s="85"/>
      <c r="U11" s="85"/>
      <c r="V11" s="85"/>
      <c r="W11" s="87"/>
      <c r="X11" s="88" t="n">
        <f aca="false">SUM(P11:W11)</f>
        <v>9184</v>
      </c>
      <c r="Y11" s="88"/>
      <c r="Z11" s="89" t="n">
        <f aca="false">AG10</f>
        <v>28.2599999999948</v>
      </c>
      <c r="AA11" s="68" t="n">
        <f aca="false">X11+Y11+Z11</f>
        <v>9212.26</v>
      </c>
      <c r="AB11" s="91"/>
      <c r="AC11" s="111"/>
      <c r="AD11" s="92" t="n">
        <v>9000</v>
      </c>
      <c r="AE11" s="112" t="n">
        <f aca="false">AC11+AD11+AB11</f>
        <v>9000</v>
      </c>
      <c r="AF11" s="113"/>
      <c r="AG11" s="104" t="n">
        <v>212.259999999995</v>
      </c>
      <c r="AH11" s="105"/>
      <c r="AI11" s="74"/>
      <c r="AJ11" s="75"/>
      <c r="AK11" s="75"/>
      <c r="AL11" s="75"/>
      <c r="AM11" s="76"/>
      <c r="AN11" s="75"/>
      <c r="AO11" s="74"/>
      <c r="AP11" s="74"/>
      <c r="AQ11" s="74"/>
      <c r="AR11" s="75"/>
      <c r="AS11" s="75"/>
      <c r="AT11" s="47"/>
      <c r="AU11" s="48"/>
      <c r="AV11" s="21"/>
      <c r="AW11" s="21"/>
      <c r="AX11" s="21"/>
      <c r="AY11" s="21"/>
      <c r="AZ11" s="21"/>
      <c r="BA11" s="21"/>
      <c r="BB11" s="21"/>
    </row>
    <row collapsed="false" customFormat="false" customHeight="true" hidden="false" ht="15.75" outlineLevel="0" r="12">
      <c r="A12" s="116" t="n">
        <v>45586</v>
      </c>
      <c r="B12" s="32"/>
      <c r="C12" s="50" t="n">
        <v>5</v>
      </c>
      <c r="D12" s="51" t="s">
        <v>51</v>
      </c>
      <c r="E12" s="52" t="s">
        <v>52</v>
      </c>
      <c r="F12" s="53" t="s">
        <v>49</v>
      </c>
      <c r="G12" s="54" t="s">
        <v>44</v>
      </c>
      <c r="H12" s="55" t="n">
        <v>45992</v>
      </c>
      <c r="I12" s="55" t="n">
        <v>46006</v>
      </c>
      <c r="J12" s="56" t="n">
        <v>88</v>
      </c>
      <c r="K12" s="57"/>
      <c r="L12" s="97"/>
      <c r="M12" s="58" t="n">
        <v>287</v>
      </c>
      <c r="N12" s="59" t="n">
        <v>75000</v>
      </c>
      <c r="O12" s="60" t="n">
        <v>22</v>
      </c>
      <c r="P12" s="83" t="n">
        <f aca="false">(N12/(O12*8))*J12</f>
        <v>37500</v>
      </c>
      <c r="Q12" s="61"/>
      <c r="R12" s="62"/>
      <c r="S12" s="62"/>
      <c r="T12" s="62"/>
      <c r="U12" s="62"/>
      <c r="V12" s="62"/>
      <c r="W12" s="64"/>
      <c r="X12" s="65" t="n">
        <f aca="false">SUM(P12:W12)</f>
        <v>37500</v>
      </c>
      <c r="Y12" s="66"/>
      <c r="Z12" s="67" t="n">
        <v>102</v>
      </c>
      <c r="AA12" s="68" t="n">
        <f aca="false">X12+Y12+Z12</f>
        <v>37602</v>
      </c>
      <c r="AB12" s="69"/>
      <c r="AC12" s="70" t="n">
        <v>21750</v>
      </c>
      <c r="AD12" s="71" t="n">
        <v>16000</v>
      </c>
      <c r="AE12" s="71" t="n">
        <f aca="false">AC12+AD12+AB12</f>
        <v>37750</v>
      </c>
      <c r="AF12" s="72" t="n">
        <f aca="false">AE12+AE13</f>
        <v>79500</v>
      </c>
      <c r="AG12" s="71" t="n">
        <v>-148</v>
      </c>
      <c r="AH12" s="48"/>
      <c r="AI12" s="74" t="n">
        <f aca="false">AD12</f>
        <v>16000</v>
      </c>
      <c r="AJ12" s="75"/>
      <c r="AK12" s="75"/>
      <c r="AL12" s="75"/>
      <c r="AM12" s="76" t="n">
        <f aca="false">AC12</f>
        <v>21750</v>
      </c>
      <c r="AN12" s="75"/>
      <c r="AO12" s="74" t="n">
        <f aca="false">AD13</f>
        <v>20000</v>
      </c>
      <c r="AP12" s="75"/>
      <c r="AQ12" s="75"/>
      <c r="AR12" s="75"/>
      <c r="AS12" s="76" t="n">
        <f aca="false">AC13</f>
        <v>21750</v>
      </c>
      <c r="AT12" s="47"/>
      <c r="AU12" s="31"/>
      <c r="AV12" s="21"/>
      <c r="AW12" s="21"/>
      <c r="AX12" s="21"/>
      <c r="AY12" s="21"/>
      <c r="AZ12" s="21"/>
      <c r="BA12" s="21"/>
      <c r="BB12" s="21"/>
    </row>
    <row collapsed="false" customFormat="false" customHeight="true" hidden="false" ht="15.75" outlineLevel="0" r="13">
      <c r="A13" s="117" t="s">
        <v>53</v>
      </c>
      <c r="B13" s="32"/>
      <c r="C13" s="50"/>
      <c r="D13" s="51"/>
      <c r="E13" s="52"/>
      <c r="F13" s="78"/>
      <c r="G13" s="54" t="s">
        <v>44</v>
      </c>
      <c r="H13" s="79" t="n">
        <v>46007</v>
      </c>
      <c r="I13" s="79" t="n">
        <v>46022</v>
      </c>
      <c r="J13" s="80" t="n">
        <v>88</v>
      </c>
      <c r="K13" s="81"/>
      <c r="L13" s="101" t="n">
        <v>16</v>
      </c>
      <c r="M13" s="58" t="n">
        <v>287</v>
      </c>
      <c r="N13" s="83" t="n">
        <v>75000</v>
      </c>
      <c r="O13" s="60" t="n">
        <v>22</v>
      </c>
      <c r="P13" s="83" t="n">
        <f aca="false">(N13/(O13*8))*J13+L13*M13</f>
        <v>42092</v>
      </c>
      <c r="Q13" s="84"/>
      <c r="R13" s="85"/>
      <c r="S13" s="85"/>
      <c r="T13" s="85"/>
      <c r="U13" s="85"/>
      <c r="V13" s="85"/>
      <c r="W13" s="87"/>
      <c r="X13" s="88" t="n">
        <f aca="false">SUM(P13:W13)</f>
        <v>42092</v>
      </c>
      <c r="Y13" s="88"/>
      <c r="Z13" s="89" t="n">
        <f aca="false">AG12</f>
        <v>-148</v>
      </c>
      <c r="AA13" s="68" t="n">
        <f aca="false">X13+Y13+Z13</f>
        <v>41944</v>
      </c>
      <c r="AB13" s="91"/>
      <c r="AC13" s="103" t="n">
        <v>21750</v>
      </c>
      <c r="AD13" s="92" t="n">
        <v>20000</v>
      </c>
      <c r="AE13" s="92" t="n">
        <f aca="false">AC13+AD13+AB13</f>
        <v>41750</v>
      </c>
      <c r="AF13" s="92"/>
      <c r="AG13" s="104" t="n">
        <v>194</v>
      </c>
      <c r="AH13" s="48"/>
      <c r="AI13" s="74"/>
      <c r="AJ13" s="75"/>
      <c r="AK13" s="75"/>
      <c r="AL13" s="75"/>
      <c r="AM13" s="76"/>
      <c r="AN13" s="75"/>
      <c r="AO13" s="74"/>
      <c r="AP13" s="74"/>
      <c r="AQ13" s="75"/>
      <c r="AR13" s="75"/>
      <c r="AS13" s="76"/>
      <c r="AT13" s="47"/>
      <c r="AU13" s="48"/>
      <c r="AV13" s="21"/>
      <c r="AW13" s="21"/>
      <c r="AX13" s="21"/>
      <c r="AY13" s="21"/>
      <c r="AZ13" s="21"/>
      <c r="BA13" s="21"/>
      <c r="BB13" s="21"/>
    </row>
    <row collapsed="false" customFormat="false" customHeight="true" hidden="false" ht="15.75" outlineLevel="0" r="14">
      <c r="A14" s="49" t="n">
        <v>44999</v>
      </c>
      <c r="B14" s="32"/>
      <c r="C14" s="50" t="n">
        <v>6</v>
      </c>
      <c r="D14" s="118" t="s">
        <v>54</v>
      </c>
      <c r="E14" s="119" t="s">
        <v>55</v>
      </c>
      <c r="F14" s="120" t="s">
        <v>49</v>
      </c>
      <c r="G14" s="54" t="s">
        <v>44</v>
      </c>
      <c r="H14" s="55" t="n">
        <v>45992</v>
      </c>
      <c r="I14" s="55" t="n">
        <v>46006</v>
      </c>
      <c r="J14" s="56" t="n">
        <v>88.75</v>
      </c>
      <c r="K14" s="57"/>
      <c r="L14" s="97"/>
      <c r="M14" s="108" t="n">
        <v>287</v>
      </c>
      <c r="N14" s="59"/>
      <c r="O14" s="60" t="n">
        <v>22</v>
      </c>
      <c r="P14" s="59" t="n">
        <f aca="false">(J14+K14+L14)*M14</f>
        <v>25471.25</v>
      </c>
      <c r="Q14" s="61" t="n">
        <v>28700</v>
      </c>
      <c r="R14" s="62"/>
      <c r="S14" s="62"/>
      <c r="T14" s="62"/>
      <c r="U14" s="62"/>
      <c r="V14" s="63" t="n">
        <v>5350</v>
      </c>
      <c r="W14" s="64"/>
      <c r="X14" s="65" t="n">
        <f aca="false">SUM(P14:W14)</f>
        <v>59521.25</v>
      </c>
      <c r="Y14" s="66"/>
      <c r="Z14" s="67" t="n">
        <v>213</v>
      </c>
      <c r="AA14" s="68" t="n">
        <f aca="false">X14+Y14+Z14</f>
        <v>59734.25</v>
      </c>
      <c r="AB14" s="69"/>
      <c r="AC14" s="121"/>
      <c r="AD14" s="71" t="n">
        <v>59500</v>
      </c>
      <c r="AE14" s="71" t="n">
        <f aca="false">AC14+AD14+AB14</f>
        <v>59500</v>
      </c>
      <c r="AF14" s="72" t="n">
        <f aca="false">AE14+AE15</f>
        <v>100000</v>
      </c>
      <c r="AG14" s="71" t="n">
        <v>234.25</v>
      </c>
      <c r="AH14" s="122"/>
      <c r="AI14" s="74" t="n">
        <f aca="false">AD14</f>
        <v>59500</v>
      </c>
      <c r="AJ14" s="75"/>
      <c r="AK14" s="75" t="n">
        <f aca="false">AC14</f>
        <v>0</v>
      </c>
      <c r="AL14" s="75"/>
      <c r="AM14" s="76" t="n">
        <f aca="false">AC14</f>
        <v>0</v>
      </c>
      <c r="AN14" s="75"/>
      <c r="AO14" s="74" t="n">
        <f aca="false">AD15</f>
        <v>40500</v>
      </c>
      <c r="AP14" s="75"/>
      <c r="AQ14" s="75" t="n">
        <f aca="false">AC15</f>
        <v>0</v>
      </c>
      <c r="AR14" s="75"/>
      <c r="AS14" s="75"/>
      <c r="AT14" s="47"/>
      <c r="AU14" s="31"/>
      <c r="AV14" s="21"/>
      <c r="AW14" s="21"/>
      <c r="AX14" s="21"/>
      <c r="AY14" s="21"/>
      <c r="AZ14" s="21"/>
      <c r="BA14" s="21"/>
      <c r="BB14" s="21"/>
    </row>
    <row collapsed="false" customFormat="false" customHeight="true" hidden="false" ht="15.75" outlineLevel="0" r="15">
      <c r="A15" s="32"/>
      <c r="B15" s="32"/>
      <c r="C15" s="50"/>
      <c r="D15" s="118"/>
      <c r="E15" s="119"/>
      <c r="F15" s="123"/>
      <c r="G15" s="54" t="s">
        <v>44</v>
      </c>
      <c r="H15" s="79" t="n">
        <v>46007</v>
      </c>
      <c r="I15" s="79" t="n">
        <v>46022</v>
      </c>
      <c r="J15" s="80" t="n">
        <v>92.5</v>
      </c>
      <c r="K15" s="81"/>
      <c r="L15" s="101" t="n">
        <v>19</v>
      </c>
      <c r="M15" s="108" t="n">
        <v>287</v>
      </c>
      <c r="N15" s="83"/>
      <c r="O15" s="60" t="n">
        <v>22</v>
      </c>
      <c r="P15" s="83" t="n">
        <f aca="false">(J15+K15+L15)*M15</f>
        <v>32000.5</v>
      </c>
      <c r="Q15" s="84"/>
      <c r="R15" s="85"/>
      <c r="S15" s="85"/>
      <c r="T15" s="85"/>
      <c r="U15" s="85"/>
      <c r="V15" s="63" t="n">
        <v>5350</v>
      </c>
      <c r="W15" s="124" t="n">
        <v>3000</v>
      </c>
      <c r="X15" s="88" t="n">
        <f aca="false">SUM(P15:W15)</f>
        <v>40350.5</v>
      </c>
      <c r="Y15" s="88"/>
      <c r="Z15" s="89" t="n">
        <f aca="false">AG14</f>
        <v>234.25</v>
      </c>
      <c r="AA15" s="68" t="n">
        <f aca="false">X15+Y15+Z15</f>
        <v>40584.75</v>
      </c>
      <c r="AB15" s="91"/>
      <c r="AC15" s="111"/>
      <c r="AD15" s="92" t="n">
        <v>40500</v>
      </c>
      <c r="AE15" s="92" t="n">
        <f aca="false">AC15+AD15+AB15</f>
        <v>40500</v>
      </c>
      <c r="AF15" s="92"/>
      <c r="AG15" s="104" t="n">
        <v>84.75</v>
      </c>
      <c r="AH15" s="105"/>
      <c r="AI15" s="74"/>
      <c r="AJ15" s="75"/>
      <c r="AK15" s="75"/>
      <c r="AL15" s="75"/>
      <c r="AM15" s="76"/>
      <c r="AN15" s="75"/>
      <c r="AO15" s="74"/>
      <c r="AP15" s="74"/>
      <c r="AQ15" s="74"/>
      <c r="AR15" s="75"/>
      <c r="AS15" s="75"/>
      <c r="AT15" s="47"/>
      <c r="AU15" s="48"/>
      <c r="AV15" s="21"/>
      <c r="AW15" s="21"/>
      <c r="AX15" s="21"/>
      <c r="AY15" s="21"/>
      <c r="AZ15" s="21"/>
      <c r="BA15" s="21"/>
      <c r="BB15" s="21"/>
    </row>
    <row collapsed="false" customFormat="false" customHeight="true" hidden="false" ht="15.75" outlineLevel="0" r="16">
      <c r="A16" s="49" t="n">
        <v>45069</v>
      </c>
      <c r="B16" s="32"/>
      <c r="C16" s="50" t="n">
        <v>7</v>
      </c>
      <c r="D16" s="125" t="s">
        <v>56</v>
      </c>
      <c r="E16" s="119" t="s">
        <v>55</v>
      </c>
      <c r="F16" s="126" t="s">
        <v>49</v>
      </c>
      <c r="G16" s="54" t="s">
        <v>44</v>
      </c>
      <c r="H16" s="55" t="n">
        <v>45992</v>
      </c>
      <c r="I16" s="55" t="n">
        <v>46006</v>
      </c>
      <c r="J16" s="80" t="n">
        <v>88</v>
      </c>
      <c r="K16" s="81"/>
      <c r="L16" s="101"/>
      <c r="M16" s="108" t="n">
        <v>287</v>
      </c>
      <c r="N16" s="83"/>
      <c r="O16" s="60" t="n">
        <v>22</v>
      </c>
      <c r="P16" s="83" t="n">
        <f aca="false">(J16+K16+L16)*M16</f>
        <v>25256</v>
      </c>
      <c r="Q16" s="84" t="n">
        <v>26400</v>
      </c>
      <c r="R16" s="85"/>
      <c r="S16" s="85"/>
      <c r="T16" s="85"/>
      <c r="U16" s="85"/>
      <c r="V16" s="86" t="n">
        <v>2140</v>
      </c>
      <c r="W16" s="87"/>
      <c r="X16" s="88" t="n">
        <f aca="false">SUM(P16:W16)</f>
        <v>53796</v>
      </c>
      <c r="Y16" s="109"/>
      <c r="Z16" s="110" t="n">
        <v>-62</v>
      </c>
      <c r="AA16" s="90" t="n">
        <f aca="false">X16+Y16+Z16</f>
        <v>53734</v>
      </c>
      <c r="AB16" s="91"/>
      <c r="AC16" s="111"/>
      <c r="AD16" s="112" t="n">
        <v>54000</v>
      </c>
      <c r="AE16" s="112" t="n">
        <f aca="false">AC16+AD16+AB16</f>
        <v>54000</v>
      </c>
      <c r="AF16" s="113" t="n">
        <f aca="false">AE16+AE17</f>
        <v>99500</v>
      </c>
      <c r="AG16" s="71" t="n">
        <v>-266</v>
      </c>
      <c r="AH16" s="48"/>
      <c r="AI16" s="74" t="n">
        <f aca="false">AD16</f>
        <v>54000</v>
      </c>
      <c r="AJ16" s="75"/>
      <c r="AK16" s="75" t="n">
        <f aca="false">AC16</f>
        <v>0</v>
      </c>
      <c r="AL16" s="75"/>
      <c r="AM16" s="76" t="n">
        <f aca="false">AC16</f>
        <v>0</v>
      </c>
      <c r="AN16" s="75"/>
      <c r="AO16" s="74" t="n">
        <f aca="false">AD17</f>
        <v>45500</v>
      </c>
      <c r="AP16" s="75"/>
      <c r="AQ16" s="75" t="n">
        <f aca="false">AC17</f>
        <v>0</v>
      </c>
      <c r="AR16" s="75"/>
      <c r="AS16" s="75"/>
      <c r="AT16" s="47"/>
      <c r="AU16" s="48"/>
      <c r="AV16" s="21"/>
      <c r="AW16" s="21"/>
      <c r="AX16" s="21"/>
      <c r="AY16" s="21"/>
      <c r="AZ16" s="21"/>
      <c r="BA16" s="21"/>
      <c r="BB16" s="21"/>
    </row>
    <row collapsed="false" customFormat="false" customHeight="true" hidden="false" ht="15.75" outlineLevel="0" r="17">
      <c r="A17" s="32"/>
      <c r="B17" s="32"/>
      <c r="C17" s="50"/>
      <c r="D17" s="125"/>
      <c r="E17" s="119"/>
      <c r="F17" s="123"/>
      <c r="G17" s="54" t="s">
        <v>44</v>
      </c>
      <c r="H17" s="79" t="n">
        <v>46007</v>
      </c>
      <c r="I17" s="79" t="n">
        <v>46022</v>
      </c>
      <c r="J17" s="80" t="n">
        <v>88</v>
      </c>
      <c r="K17" s="81"/>
      <c r="L17" s="101" t="n">
        <v>16</v>
      </c>
      <c r="M17" s="108" t="n">
        <v>287</v>
      </c>
      <c r="N17" s="83"/>
      <c r="O17" s="60" t="n">
        <v>22</v>
      </c>
      <c r="P17" s="114" t="n">
        <f aca="false">(J17+K17+L17)*M17</f>
        <v>29848</v>
      </c>
      <c r="Q17" s="84"/>
      <c r="R17" s="85"/>
      <c r="S17" s="85" t="n">
        <v>13680</v>
      </c>
      <c r="T17" s="85"/>
      <c r="U17" s="85"/>
      <c r="V17" s="86" t="n">
        <v>2140</v>
      </c>
      <c r="W17" s="87"/>
      <c r="X17" s="115" t="n">
        <f aca="false">SUM(P17:W17)</f>
        <v>45668</v>
      </c>
      <c r="Y17" s="88"/>
      <c r="Z17" s="89" t="n">
        <f aca="false">AG16</f>
        <v>-266</v>
      </c>
      <c r="AA17" s="68" t="n">
        <f aca="false">X17+Y17+Z17</f>
        <v>45402</v>
      </c>
      <c r="AB17" s="91"/>
      <c r="AC17" s="111"/>
      <c r="AD17" s="92" t="n">
        <v>45500</v>
      </c>
      <c r="AE17" s="112" t="n">
        <f aca="false">AC17+AD17+AB17</f>
        <v>45500</v>
      </c>
      <c r="AG17" s="104" t="n">
        <v>-98</v>
      </c>
      <c r="AH17" s="105"/>
      <c r="AI17" s="74"/>
      <c r="AJ17" s="75"/>
      <c r="AK17" s="75"/>
      <c r="AL17" s="75"/>
      <c r="AM17" s="76"/>
      <c r="AN17" s="75"/>
      <c r="AO17" s="74"/>
      <c r="AP17" s="74"/>
      <c r="AQ17" s="74"/>
      <c r="AR17" s="75"/>
      <c r="AS17" s="75"/>
      <c r="AT17" s="47"/>
      <c r="AU17" s="48"/>
      <c r="AV17" s="21"/>
      <c r="AW17" s="21"/>
      <c r="AX17" s="21"/>
      <c r="AY17" s="21"/>
      <c r="AZ17" s="21"/>
      <c r="BA17" s="21"/>
      <c r="BB17" s="21"/>
    </row>
    <row collapsed="false" customFormat="false" customHeight="true" hidden="false" ht="15.75" outlineLevel="0" r="18">
      <c r="A18" s="49" t="n">
        <v>45099</v>
      </c>
      <c r="B18" s="32"/>
      <c r="C18" s="50" t="n">
        <v>8</v>
      </c>
      <c r="D18" s="118" t="s">
        <v>57</v>
      </c>
      <c r="E18" s="119" t="s">
        <v>55</v>
      </c>
      <c r="F18" s="120" t="s">
        <v>49</v>
      </c>
      <c r="G18" s="54" t="s">
        <v>44</v>
      </c>
      <c r="H18" s="55" t="n">
        <v>45992</v>
      </c>
      <c r="I18" s="55" t="n">
        <v>46006</v>
      </c>
      <c r="J18" s="56" t="n">
        <v>1</v>
      </c>
      <c r="K18" s="57"/>
      <c r="L18" s="97"/>
      <c r="M18" s="58" t="n">
        <v>287</v>
      </c>
      <c r="N18" s="59"/>
      <c r="O18" s="60" t="n">
        <v>22</v>
      </c>
      <c r="P18" s="59" t="n">
        <f aca="false">(J18+K18+L18)*M18</f>
        <v>287</v>
      </c>
      <c r="Q18" s="61" t="n">
        <v>21950</v>
      </c>
      <c r="R18" s="62"/>
      <c r="S18" s="62"/>
      <c r="T18" s="62"/>
      <c r="U18" s="62"/>
      <c r="V18" s="62"/>
      <c r="W18" s="64"/>
      <c r="X18" s="65" t="n">
        <f aca="false">SUM(P18:W18)</f>
        <v>22237</v>
      </c>
      <c r="Y18" s="66"/>
      <c r="Z18" s="67" t="n">
        <v>28</v>
      </c>
      <c r="AA18" s="68" t="n">
        <f aca="false">X18+Y18+Z18</f>
        <v>22265</v>
      </c>
      <c r="AB18" s="69" t="n">
        <v>22247</v>
      </c>
      <c r="AC18" s="70"/>
      <c r="AD18" s="71"/>
      <c r="AE18" s="71" t="n">
        <f aca="false">AC18+AD18+AB18</f>
        <v>22247</v>
      </c>
      <c r="AF18" s="72" t="n">
        <f aca="false">AE18+AE19</f>
        <v>22247</v>
      </c>
      <c r="AG18" s="71" t="n">
        <v>18</v>
      </c>
      <c r="AH18" s="122"/>
      <c r="AI18" s="74" t="n">
        <f aca="false">AD18</f>
        <v>0</v>
      </c>
      <c r="AJ18" s="75"/>
      <c r="AK18" s="99" t="n">
        <f aca="false">AC18</f>
        <v>0</v>
      </c>
      <c r="AL18" s="75"/>
      <c r="AM18" s="75"/>
      <c r="AN18" s="75"/>
      <c r="AO18" s="74" t="n">
        <f aca="false">AD19</f>
        <v>0</v>
      </c>
      <c r="AP18" s="127"/>
      <c r="AQ18" s="99" t="n">
        <f aca="false">AC19</f>
        <v>0</v>
      </c>
      <c r="AR18" s="75"/>
      <c r="AS18" s="75"/>
      <c r="AT18" s="128"/>
      <c r="AU18" s="48"/>
      <c r="AV18" s="21"/>
      <c r="AW18" s="21"/>
      <c r="AX18" s="21"/>
      <c r="AY18" s="21"/>
      <c r="AZ18" s="21"/>
      <c r="BA18" s="21"/>
      <c r="BB18" s="21"/>
    </row>
    <row collapsed="false" customFormat="false" customHeight="true" hidden="false" ht="15.75" outlineLevel="0" r="19">
      <c r="A19" s="32"/>
      <c r="B19" s="32"/>
      <c r="C19" s="50"/>
      <c r="D19" s="118"/>
      <c r="E19" s="119"/>
      <c r="F19" s="123"/>
      <c r="G19" s="54" t="s">
        <v>44</v>
      </c>
      <c r="H19" s="79" t="n">
        <v>46007</v>
      </c>
      <c r="I19" s="79" t="n">
        <v>46022</v>
      </c>
      <c r="J19" s="80"/>
      <c r="K19" s="81"/>
      <c r="L19" s="101"/>
      <c r="M19" s="58" t="n">
        <v>287</v>
      </c>
      <c r="N19" s="83"/>
      <c r="O19" s="60" t="n">
        <v>22</v>
      </c>
      <c r="P19" s="83" t="n">
        <f aca="false">(J19+K19+L19)*M19</f>
        <v>0</v>
      </c>
      <c r="Q19" s="84"/>
      <c r="R19" s="85"/>
      <c r="S19" s="85"/>
      <c r="T19" s="85"/>
      <c r="U19" s="85"/>
      <c r="V19" s="85"/>
      <c r="W19" s="87"/>
      <c r="X19" s="88" t="n">
        <f aca="false">SUM(P19:W19)</f>
        <v>0</v>
      </c>
      <c r="Y19" s="88"/>
      <c r="Z19" s="89" t="n">
        <f aca="false">AG18</f>
        <v>18</v>
      </c>
      <c r="AA19" s="68" t="n">
        <f aca="false">X19+Y19+Z19</f>
        <v>18</v>
      </c>
      <c r="AB19" s="91"/>
      <c r="AC19" s="103"/>
      <c r="AD19" s="92"/>
      <c r="AE19" s="92" t="n">
        <f aca="false">AC19+AD19+AB19</f>
        <v>0</v>
      </c>
      <c r="AF19" s="92"/>
      <c r="AG19" s="71" t="n">
        <v>18</v>
      </c>
      <c r="AH19" s="105"/>
      <c r="AI19" s="74"/>
      <c r="AJ19" s="75"/>
      <c r="AK19" s="75"/>
      <c r="AL19" s="75"/>
      <c r="AM19" s="75"/>
      <c r="AN19" s="75"/>
      <c r="AO19" s="74"/>
      <c r="AP19" s="74"/>
      <c r="AQ19" s="74"/>
      <c r="AR19" s="75"/>
      <c r="AS19" s="75"/>
      <c r="AT19" s="129"/>
      <c r="AU19" s="48"/>
      <c r="AV19" s="21"/>
      <c r="AW19" s="21"/>
      <c r="AX19" s="21"/>
      <c r="AY19" s="21"/>
      <c r="AZ19" s="21"/>
      <c r="BA19" s="21"/>
      <c r="BB19" s="21"/>
    </row>
    <row collapsed="false" customFormat="false" customHeight="true" hidden="false" ht="15.75" outlineLevel="0" r="20">
      <c r="A20" s="49" t="n">
        <v>45328</v>
      </c>
      <c r="B20" s="32"/>
      <c r="C20" s="50" t="n">
        <v>9</v>
      </c>
      <c r="D20" s="118" t="s">
        <v>58</v>
      </c>
      <c r="E20" s="119" t="s">
        <v>55</v>
      </c>
      <c r="F20" s="120" t="s">
        <v>49</v>
      </c>
      <c r="G20" s="54" t="s">
        <v>44</v>
      </c>
      <c r="H20" s="55" t="n">
        <v>45992</v>
      </c>
      <c r="I20" s="55" t="n">
        <v>46006</v>
      </c>
      <c r="J20" s="56" t="n">
        <v>88</v>
      </c>
      <c r="K20" s="57"/>
      <c r="L20" s="97"/>
      <c r="M20" s="108" t="n">
        <v>287</v>
      </c>
      <c r="N20" s="59"/>
      <c r="O20" s="60" t="n">
        <v>22</v>
      </c>
      <c r="P20" s="59" t="n">
        <f aca="false">(J20+K20+L20)*M20</f>
        <v>25256</v>
      </c>
      <c r="Q20" s="61" t="n">
        <v>25700</v>
      </c>
      <c r="R20" s="62"/>
      <c r="S20" s="62"/>
      <c r="T20" s="62"/>
      <c r="U20" s="62"/>
      <c r="V20" s="62"/>
      <c r="W20" s="64"/>
      <c r="X20" s="65" t="n">
        <f aca="false">SUM(P20:W20)</f>
        <v>50956</v>
      </c>
      <c r="Y20" s="66"/>
      <c r="Z20" s="67" t="n">
        <v>205</v>
      </c>
      <c r="AA20" s="68" t="n">
        <f aca="false">X20+Y20+Z20</f>
        <v>51161</v>
      </c>
      <c r="AB20" s="69"/>
      <c r="AC20" s="70" t="n">
        <v>13050</v>
      </c>
      <c r="AD20" s="71" t="n">
        <v>38000</v>
      </c>
      <c r="AE20" s="71" t="n">
        <f aca="false">AC20+AD20+AB20</f>
        <v>51050</v>
      </c>
      <c r="AF20" s="72" t="n">
        <f aca="false">AE20+AE21</f>
        <v>81100</v>
      </c>
      <c r="AG20" s="71" t="n">
        <v>111</v>
      </c>
      <c r="AH20" s="122"/>
      <c r="AI20" s="74" t="n">
        <f aca="false">AD20</f>
        <v>38000</v>
      </c>
      <c r="AJ20" s="75"/>
      <c r="AK20" s="99" t="n">
        <f aca="false">AC20</f>
        <v>13050</v>
      </c>
      <c r="AL20" s="75"/>
      <c r="AM20" s="75"/>
      <c r="AN20" s="75"/>
      <c r="AO20" s="74" t="n">
        <f aca="false">AD21</f>
        <v>17000</v>
      </c>
      <c r="AP20" s="75"/>
      <c r="AQ20" s="130" t="n">
        <f aca="false">AC21</f>
        <v>13050</v>
      </c>
      <c r="AR20" s="75"/>
      <c r="AS20" s="75"/>
      <c r="AT20" s="47"/>
      <c r="AU20" s="48"/>
      <c r="AV20" s="21"/>
      <c r="AW20" s="21"/>
      <c r="AX20" s="21"/>
      <c r="AY20" s="21"/>
      <c r="AZ20" s="21"/>
      <c r="BA20" s="21"/>
      <c r="BB20" s="21"/>
    </row>
    <row collapsed="false" customFormat="false" customHeight="true" hidden="false" ht="15.75" outlineLevel="0" r="21">
      <c r="A21" s="32"/>
      <c r="B21" s="32"/>
      <c r="C21" s="50"/>
      <c r="D21" s="118"/>
      <c r="E21" s="119"/>
      <c r="F21" s="123"/>
      <c r="G21" s="54" t="s">
        <v>44</v>
      </c>
      <c r="H21" s="79" t="n">
        <v>46007</v>
      </c>
      <c r="I21" s="79" t="n">
        <v>46022</v>
      </c>
      <c r="J21" s="80" t="n">
        <v>88</v>
      </c>
      <c r="K21" s="81"/>
      <c r="L21" s="101" t="n">
        <v>16</v>
      </c>
      <c r="M21" s="108" t="n">
        <v>287</v>
      </c>
      <c r="N21" s="83"/>
      <c r="O21" s="60" t="n">
        <v>22</v>
      </c>
      <c r="P21" s="83" t="n">
        <f aca="false">(J21+K21+L21)*M21</f>
        <v>29848</v>
      </c>
      <c r="Q21" s="84"/>
      <c r="R21" s="85"/>
      <c r="S21" s="85"/>
      <c r="T21" s="85"/>
      <c r="U21" s="85"/>
      <c r="V21" s="85"/>
      <c r="W21" s="87"/>
      <c r="X21" s="88" t="n">
        <f aca="false">SUM(P21:W21)</f>
        <v>29848</v>
      </c>
      <c r="Y21" s="88"/>
      <c r="Z21" s="89" t="n">
        <f aca="false">AG20</f>
        <v>111</v>
      </c>
      <c r="AA21" s="68" t="n">
        <f aca="false">X21+Y21+Z21</f>
        <v>29959</v>
      </c>
      <c r="AB21" s="91"/>
      <c r="AC21" s="103" t="n">
        <v>13050</v>
      </c>
      <c r="AD21" s="92" t="n">
        <v>17000</v>
      </c>
      <c r="AE21" s="92" t="n">
        <f aca="false">AC21+AD21+AB21</f>
        <v>30050</v>
      </c>
      <c r="AF21" s="92"/>
      <c r="AG21" s="104" t="n">
        <v>-91</v>
      </c>
      <c r="AH21" s="105"/>
      <c r="AI21" s="74"/>
      <c r="AJ21" s="75"/>
      <c r="AK21" s="75"/>
      <c r="AL21" s="75"/>
      <c r="AM21" s="75"/>
      <c r="AN21" s="75"/>
      <c r="AO21" s="74"/>
      <c r="AP21" s="74"/>
      <c r="AQ21" s="74"/>
      <c r="AR21" s="75"/>
      <c r="AS21" s="75"/>
      <c r="AT21" s="47"/>
      <c r="AU21" s="48"/>
      <c r="AV21" s="21"/>
      <c r="AW21" s="21"/>
      <c r="AX21" s="21"/>
      <c r="AY21" s="21"/>
      <c r="AZ21" s="21"/>
      <c r="BA21" s="21"/>
      <c r="BB21" s="21"/>
    </row>
    <row collapsed="false" customFormat="false" customHeight="true" hidden="false" ht="15.75" outlineLevel="0" r="22">
      <c r="A22" s="131" t="n">
        <v>45590</v>
      </c>
      <c r="B22" s="32"/>
      <c r="C22" s="50" t="n">
        <v>10</v>
      </c>
      <c r="D22" s="118" t="s">
        <v>59</v>
      </c>
      <c r="E22" s="119" t="s">
        <v>55</v>
      </c>
      <c r="F22" s="120" t="s">
        <v>49</v>
      </c>
      <c r="G22" s="54" t="s">
        <v>44</v>
      </c>
      <c r="H22" s="55" t="n">
        <v>45992</v>
      </c>
      <c r="I22" s="55" t="n">
        <v>46006</v>
      </c>
      <c r="J22" s="56" t="n">
        <v>1</v>
      </c>
      <c r="K22" s="97"/>
      <c r="L22" s="97"/>
      <c r="M22" s="58" t="n">
        <v>287</v>
      </c>
      <c r="N22" s="59"/>
      <c r="O22" s="60" t="n">
        <v>22</v>
      </c>
      <c r="P22" s="59" t="n">
        <f aca="false">(J22+K22+L22)*M22</f>
        <v>287</v>
      </c>
      <c r="Q22" s="61" t="n">
        <v>26000</v>
      </c>
      <c r="R22" s="62"/>
      <c r="S22" s="62"/>
      <c r="T22" s="62"/>
      <c r="U22" s="62"/>
      <c r="V22" s="62"/>
      <c r="W22" s="64"/>
      <c r="X22" s="65" t="n">
        <f aca="false">SUM(P22:W22)</f>
        <v>26287</v>
      </c>
      <c r="Y22" s="66"/>
      <c r="Z22" s="67" t="n">
        <v>-194</v>
      </c>
      <c r="AA22" s="68" t="n">
        <f aca="false">X22+Y22+Z22</f>
        <v>26093</v>
      </c>
      <c r="AB22" s="69"/>
      <c r="AC22" s="121"/>
      <c r="AD22" s="71" t="n">
        <v>26000</v>
      </c>
      <c r="AE22" s="92" t="n">
        <f aca="false">AC22+AD22+AB22</f>
        <v>26000</v>
      </c>
      <c r="AF22" s="72" t="n">
        <f aca="false">AE22+AE23</f>
        <v>26000</v>
      </c>
      <c r="AG22" s="71" t="n">
        <v>93</v>
      </c>
      <c r="AH22" s="48"/>
      <c r="AI22" s="74" t="n">
        <f aca="false">AD22</f>
        <v>26000</v>
      </c>
      <c r="AJ22" s="75"/>
      <c r="AK22" s="75"/>
      <c r="AL22" s="75"/>
      <c r="AM22" s="76" t="n">
        <f aca="false">AC22</f>
        <v>0</v>
      </c>
      <c r="AN22" s="75"/>
      <c r="AO22" s="74" t="n">
        <f aca="false">AD23</f>
        <v>0</v>
      </c>
      <c r="AP22" s="75"/>
      <c r="AQ22" s="75"/>
      <c r="AR22" s="75"/>
      <c r="AS22" s="75"/>
      <c r="AT22" s="47"/>
      <c r="AU22" s="31"/>
      <c r="AV22" s="21"/>
      <c r="AW22" s="21"/>
      <c r="AX22" s="21"/>
      <c r="AY22" s="21"/>
      <c r="AZ22" s="21"/>
      <c r="BA22" s="21"/>
      <c r="BB22" s="21"/>
    </row>
    <row collapsed="false" customFormat="false" customHeight="true" hidden="false" ht="15.75" outlineLevel="0" r="23">
      <c r="B23" s="32"/>
      <c r="C23" s="50"/>
      <c r="D23" s="118"/>
      <c r="E23" s="119"/>
      <c r="F23" s="123"/>
      <c r="G23" s="54" t="s">
        <v>44</v>
      </c>
      <c r="H23" s="79" t="n">
        <v>46007</v>
      </c>
      <c r="I23" s="79" t="n">
        <v>46022</v>
      </c>
      <c r="J23" s="80"/>
      <c r="K23" s="81"/>
      <c r="L23" s="101"/>
      <c r="M23" s="58" t="n">
        <v>287</v>
      </c>
      <c r="N23" s="83"/>
      <c r="O23" s="60" t="n">
        <v>22</v>
      </c>
      <c r="P23" s="59" t="n">
        <f aca="false">(J23+K23+L23)*M23</f>
        <v>0</v>
      </c>
      <c r="Q23" s="84"/>
      <c r="R23" s="85"/>
      <c r="S23" s="85"/>
      <c r="T23" s="85"/>
      <c r="U23" s="85"/>
      <c r="V23" s="85"/>
      <c r="W23" s="87"/>
      <c r="X23" s="65" t="n">
        <f aca="false">SUM(P23:W23)</f>
        <v>0</v>
      </c>
      <c r="Y23" s="88"/>
      <c r="Z23" s="89" t="n">
        <f aca="false">AG22</f>
        <v>93</v>
      </c>
      <c r="AA23" s="68" t="n">
        <f aca="false">X23+Y23+Z23</f>
        <v>93</v>
      </c>
      <c r="AB23" s="91"/>
      <c r="AC23" s="111"/>
      <c r="AD23" s="92"/>
      <c r="AE23" s="92" t="n">
        <f aca="false">AC23+AD23+AB23</f>
        <v>0</v>
      </c>
      <c r="AF23" s="92"/>
      <c r="AG23" s="71" t="n">
        <v>93</v>
      </c>
      <c r="AH23" s="48"/>
      <c r="AI23" s="74"/>
      <c r="AJ23" s="75"/>
      <c r="AK23" s="75"/>
      <c r="AL23" s="75"/>
      <c r="AM23" s="76"/>
      <c r="AN23" s="75"/>
      <c r="AO23" s="74"/>
      <c r="AP23" s="75"/>
      <c r="AQ23" s="75"/>
      <c r="AR23" s="75"/>
      <c r="AS23" s="75"/>
      <c r="AT23" s="47"/>
      <c r="AU23" s="48"/>
      <c r="AV23" s="21"/>
      <c r="AW23" s="21"/>
      <c r="AX23" s="21"/>
      <c r="AY23" s="21"/>
      <c r="AZ23" s="21"/>
      <c r="BA23" s="21"/>
      <c r="BB23" s="21"/>
    </row>
    <row collapsed="false" customFormat="false" customHeight="true" hidden="false" ht="15.75" outlineLevel="0" r="24">
      <c r="A24" s="131" t="n">
        <v>45623</v>
      </c>
      <c r="B24" s="32"/>
      <c r="C24" s="50" t="n">
        <v>11</v>
      </c>
      <c r="D24" s="94" t="s">
        <v>60</v>
      </c>
      <c r="E24" s="95" t="s">
        <v>46</v>
      </c>
      <c r="F24" s="96" t="s">
        <v>49</v>
      </c>
      <c r="G24" s="54" t="s">
        <v>44</v>
      </c>
      <c r="H24" s="55" t="n">
        <v>45992</v>
      </c>
      <c r="I24" s="55" t="n">
        <v>46006</v>
      </c>
      <c r="J24" s="56" t="n">
        <v>64</v>
      </c>
      <c r="K24" s="57"/>
      <c r="L24" s="97"/>
      <c r="M24" s="108" t="n">
        <v>287</v>
      </c>
      <c r="N24" s="59"/>
      <c r="O24" s="60" t="n">
        <v>22</v>
      </c>
      <c r="P24" s="59" t="n">
        <f aca="false">(J24+K24+L24)*M24</f>
        <v>18368</v>
      </c>
      <c r="Q24" s="61" t="n">
        <v>27000</v>
      </c>
      <c r="R24" s="62"/>
      <c r="S24" s="62"/>
      <c r="T24" s="62"/>
      <c r="U24" s="62"/>
      <c r="V24" s="62"/>
      <c r="W24" s="64"/>
      <c r="X24" s="65" t="n">
        <f aca="false">SUM(P24:W24)</f>
        <v>45368</v>
      </c>
      <c r="Y24" s="66"/>
      <c r="Z24" s="67" t="n">
        <v>-115</v>
      </c>
      <c r="AA24" s="68" t="n">
        <f aca="false">X24+Y24+Z24</f>
        <v>45253</v>
      </c>
      <c r="AB24" s="69"/>
      <c r="AC24" s="70" t="n">
        <v>21750</v>
      </c>
      <c r="AD24" s="71" t="n">
        <v>23500</v>
      </c>
      <c r="AE24" s="71" t="n">
        <f aca="false">AC24+AD24+AB24</f>
        <v>45250</v>
      </c>
      <c r="AF24" s="72" t="n">
        <f aca="false">AE24+AE25</f>
        <v>75000</v>
      </c>
      <c r="AG24" s="71" t="n">
        <v>3</v>
      </c>
      <c r="AH24" s="48"/>
      <c r="AI24" s="74" t="n">
        <f aca="false">AD24</f>
        <v>23500</v>
      </c>
      <c r="AJ24" s="75"/>
      <c r="AK24" s="75"/>
      <c r="AL24" s="75"/>
      <c r="AM24" s="76" t="n">
        <f aca="false">AC24</f>
        <v>21750</v>
      </c>
      <c r="AN24" s="75"/>
      <c r="AO24" s="74" t="n">
        <f aca="false">AD25</f>
        <v>8000</v>
      </c>
      <c r="AP24" s="75"/>
      <c r="AQ24" s="75"/>
      <c r="AR24" s="75"/>
      <c r="AS24" s="130" t="n">
        <f aca="false">AC25</f>
        <v>21750</v>
      </c>
      <c r="AT24" s="47"/>
      <c r="AU24" s="31"/>
      <c r="AV24" s="21"/>
      <c r="AW24" s="21"/>
      <c r="AX24" s="21"/>
      <c r="AY24" s="21"/>
      <c r="AZ24" s="21"/>
      <c r="BA24" s="21"/>
      <c r="BB24" s="21"/>
    </row>
    <row collapsed="false" customFormat="false" customHeight="true" hidden="false" ht="15.75" outlineLevel="0" r="25">
      <c r="B25" s="32"/>
      <c r="C25" s="50"/>
      <c r="D25" s="94"/>
      <c r="E25" s="95"/>
      <c r="F25" s="100"/>
      <c r="G25" s="54" t="s">
        <v>44</v>
      </c>
      <c r="H25" s="79" t="n">
        <v>46007</v>
      </c>
      <c r="I25" s="79" t="n">
        <v>46022</v>
      </c>
      <c r="J25" s="80" t="n">
        <v>88</v>
      </c>
      <c r="K25" s="81"/>
      <c r="L25" s="101" t="n">
        <v>16</v>
      </c>
      <c r="M25" s="108" t="n">
        <v>287</v>
      </c>
      <c r="N25" s="83"/>
      <c r="O25" s="60" t="n">
        <v>22</v>
      </c>
      <c r="P25" s="83" t="n">
        <f aca="false">(J25+K25+L25)*M25</f>
        <v>29848</v>
      </c>
      <c r="Q25" s="84"/>
      <c r="R25" s="85"/>
      <c r="S25" s="85"/>
      <c r="T25" s="85"/>
      <c r="U25" s="85"/>
      <c r="V25" s="85"/>
      <c r="W25" s="87"/>
      <c r="X25" s="88" t="n">
        <f aca="false">SUM(P25:W25)</f>
        <v>29848</v>
      </c>
      <c r="Y25" s="88"/>
      <c r="Z25" s="89" t="n">
        <f aca="false">AG24</f>
        <v>3</v>
      </c>
      <c r="AA25" s="68" t="n">
        <f aca="false">X25+Y25+Z25</f>
        <v>29851</v>
      </c>
      <c r="AB25" s="91"/>
      <c r="AC25" s="103" t="n">
        <v>21750</v>
      </c>
      <c r="AD25" s="92" t="n">
        <v>8000</v>
      </c>
      <c r="AE25" s="92" t="n">
        <f aca="false">AC25+AD25+AB25</f>
        <v>29750</v>
      </c>
      <c r="AF25" s="92"/>
      <c r="AG25" s="104" t="n">
        <v>101</v>
      </c>
      <c r="AH25" s="48"/>
      <c r="AI25" s="74"/>
      <c r="AJ25" s="75"/>
      <c r="AK25" s="75"/>
      <c r="AL25" s="75"/>
      <c r="AM25" s="76" t="n">
        <f aca="false">AC25</f>
        <v>21750</v>
      </c>
      <c r="AN25" s="75"/>
      <c r="AO25" s="74"/>
      <c r="AP25" s="75"/>
      <c r="AQ25" s="75"/>
      <c r="AR25" s="75"/>
      <c r="AS25" s="130"/>
      <c r="AT25" s="47"/>
      <c r="AU25" s="48"/>
      <c r="AV25" s="21"/>
      <c r="AW25" s="21"/>
      <c r="AX25" s="21"/>
      <c r="AY25" s="21"/>
      <c r="AZ25" s="21"/>
      <c r="BA25" s="21"/>
      <c r="BB25" s="21"/>
    </row>
    <row collapsed="false" customFormat="false" customHeight="true" hidden="false" ht="15.75" outlineLevel="0" r="26">
      <c r="A26" s="131" t="n">
        <v>45748</v>
      </c>
      <c r="B26" s="32"/>
      <c r="C26" s="50" t="n">
        <v>12</v>
      </c>
      <c r="D26" s="132" t="s">
        <v>61</v>
      </c>
      <c r="E26" s="119" t="s">
        <v>55</v>
      </c>
      <c r="F26" s="120" t="s">
        <v>49</v>
      </c>
      <c r="G26" s="54" t="s">
        <v>44</v>
      </c>
      <c r="H26" s="55" t="n">
        <v>45992</v>
      </c>
      <c r="I26" s="55" t="n">
        <v>46006</v>
      </c>
      <c r="J26" s="56" t="n">
        <v>80</v>
      </c>
      <c r="K26" s="97"/>
      <c r="L26" s="97"/>
      <c r="M26" s="108" t="n">
        <v>287</v>
      </c>
      <c r="N26" s="59"/>
      <c r="O26" s="60" t="n">
        <v>22</v>
      </c>
      <c r="P26" s="59" t="n">
        <f aca="false">(J26+K26+L26)*M26</f>
        <v>22960</v>
      </c>
      <c r="Q26" s="61" t="n">
        <v>29800</v>
      </c>
      <c r="R26" s="62"/>
      <c r="S26" s="62"/>
      <c r="T26" s="62"/>
      <c r="U26" s="62"/>
      <c r="V26" s="62"/>
      <c r="W26" s="64"/>
      <c r="X26" s="65" t="n">
        <f aca="false">SUM(P26:W26)</f>
        <v>52760</v>
      </c>
      <c r="Y26" s="66"/>
      <c r="Z26" s="67" t="n">
        <v>-158</v>
      </c>
      <c r="AA26" s="68" t="n">
        <f aca="false">X26+Y26+Z26</f>
        <v>52602</v>
      </c>
      <c r="AB26" s="69"/>
      <c r="AC26" s="121"/>
      <c r="AD26" s="71" t="n">
        <v>52500</v>
      </c>
      <c r="AE26" s="71" t="n">
        <f aca="false">AC26+AD26+AB26</f>
        <v>52500</v>
      </c>
      <c r="AF26" s="72" t="n">
        <f aca="false">AE26+AE27</f>
        <v>84700</v>
      </c>
      <c r="AG26" s="71" t="n">
        <v>102</v>
      </c>
      <c r="AH26" s="48"/>
      <c r="AI26" s="74" t="n">
        <f aca="false">AD26</f>
        <v>52500</v>
      </c>
      <c r="AJ26" s="75"/>
      <c r="AK26" s="75"/>
      <c r="AL26" s="75"/>
      <c r="AM26" s="76" t="n">
        <f aca="false">AC26</f>
        <v>0</v>
      </c>
      <c r="AN26" s="75"/>
      <c r="AO26" s="74" t="n">
        <f aca="false">AD27</f>
        <v>32200</v>
      </c>
      <c r="AP26" s="75"/>
      <c r="AQ26" s="75"/>
      <c r="AR26" s="75"/>
      <c r="AS26" s="75"/>
      <c r="AT26" s="47"/>
      <c r="AU26" s="31"/>
      <c r="AV26" s="21"/>
      <c r="AW26" s="21"/>
      <c r="AX26" s="21"/>
      <c r="AY26" s="21"/>
      <c r="AZ26" s="21"/>
      <c r="BA26" s="21"/>
      <c r="BB26" s="21"/>
    </row>
    <row collapsed="false" customFormat="false" customHeight="true" hidden="false" ht="15.75" outlineLevel="0" r="27">
      <c r="B27" s="32"/>
      <c r="C27" s="50"/>
      <c r="D27" s="133" t="s">
        <v>62</v>
      </c>
      <c r="E27" s="119"/>
      <c r="F27" s="123"/>
      <c r="G27" s="54" t="s">
        <v>44</v>
      </c>
      <c r="H27" s="79" t="n">
        <v>46007</v>
      </c>
      <c r="I27" s="79" t="n">
        <v>46022</v>
      </c>
      <c r="J27" s="80" t="n">
        <v>96</v>
      </c>
      <c r="K27" s="81"/>
      <c r="L27" s="101" t="n">
        <v>16</v>
      </c>
      <c r="M27" s="108" t="n">
        <v>287</v>
      </c>
      <c r="N27" s="83"/>
      <c r="O27" s="60" t="n">
        <v>22</v>
      </c>
      <c r="P27" s="83" t="n">
        <f aca="false">(J27+K27+L27)*M27</f>
        <v>32144</v>
      </c>
      <c r="Q27" s="84"/>
      <c r="R27" s="85"/>
      <c r="S27" s="85"/>
      <c r="T27" s="85"/>
      <c r="U27" s="85"/>
      <c r="V27" s="85"/>
      <c r="W27" s="87"/>
      <c r="X27" s="88" t="n">
        <f aca="false">SUM(P27:W27)</f>
        <v>32144</v>
      </c>
      <c r="Y27" s="88"/>
      <c r="Z27" s="89" t="n">
        <f aca="false">AG26</f>
        <v>102</v>
      </c>
      <c r="AA27" s="68" t="n">
        <f aca="false">X27+Y27+Z27</f>
        <v>32246</v>
      </c>
      <c r="AB27" s="91"/>
      <c r="AC27" s="111"/>
      <c r="AD27" s="92" t="n">
        <v>32200</v>
      </c>
      <c r="AE27" s="71" t="n">
        <f aca="false">AC27+AD27+AB27</f>
        <v>32200</v>
      </c>
      <c r="AF27" s="72"/>
      <c r="AG27" s="104" t="n">
        <v>46</v>
      </c>
      <c r="AH27" s="48"/>
      <c r="AI27" s="74"/>
      <c r="AJ27" s="75"/>
      <c r="AK27" s="75"/>
      <c r="AL27" s="75"/>
      <c r="AM27" s="76" t="n">
        <f aca="false">AC27</f>
        <v>0</v>
      </c>
      <c r="AN27" s="75"/>
      <c r="AO27" s="74"/>
      <c r="AP27" s="75"/>
      <c r="AQ27" s="75"/>
      <c r="AR27" s="75"/>
      <c r="AS27" s="75"/>
      <c r="AT27" s="47"/>
      <c r="AU27" s="134"/>
      <c r="AV27" s="21"/>
      <c r="AW27" s="21"/>
      <c r="AX27" s="21"/>
      <c r="AY27" s="21"/>
      <c r="AZ27" s="21"/>
      <c r="BA27" s="21"/>
      <c r="BB27" s="21"/>
    </row>
    <row collapsed="false" customFormat="false" customHeight="true" hidden="false" ht="15.75" outlineLevel="0" r="28">
      <c r="A28" s="135" t="n">
        <v>45215</v>
      </c>
      <c r="B28" s="32"/>
      <c r="C28" s="50" t="n">
        <v>13</v>
      </c>
      <c r="D28" s="51" t="s">
        <v>63</v>
      </c>
      <c r="E28" s="136" t="s">
        <v>42</v>
      </c>
      <c r="F28" s="53" t="s">
        <v>64</v>
      </c>
      <c r="G28" s="54" t="s">
        <v>44</v>
      </c>
      <c r="H28" s="55" t="n">
        <v>45992</v>
      </c>
      <c r="I28" s="55" t="n">
        <v>46006</v>
      </c>
      <c r="J28" s="137" t="n">
        <v>88</v>
      </c>
      <c r="K28" s="57"/>
      <c r="L28" s="97"/>
      <c r="M28" s="58"/>
      <c r="N28" s="59" t="n">
        <v>136300</v>
      </c>
      <c r="O28" s="60" t="n">
        <v>22</v>
      </c>
      <c r="P28" s="59" t="n">
        <f aca="false">N28/O28/8*J28</f>
        <v>68150</v>
      </c>
      <c r="Q28" s="61"/>
      <c r="R28" s="62"/>
      <c r="S28" s="62"/>
      <c r="T28" s="62"/>
      <c r="U28" s="62"/>
      <c r="V28" s="62"/>
      <c r="W28" s="64"/>
      <c r="X28" s="65" t="n">
        <f aca="false">P28+Q28+R28+S28+T28+U28+V28+W28</f>
        <v>68150</v>
      </c>
      <c r="Y28" s="66"/>
      <c r="Z28" s="67" t="n">
        <v>-244</v>
      </c>
      <c r="AA28" s="90" t="n">
        <f aca="false">X28+Y28+Z28</f>
        <v>67906</v>
      </c>
      <c r="AB28" s="69" t="n">
        <v>-2800</v>
      </c>
      <c r="AC28" s="70" t="n">
        <v>21750</v>
      </c>
      <c r="AD28" s="71" t="n">
        <v>29000</v>
      </c>
      <c r="AE28" s="71" t="n">
        <f aca="false">AC28+AD28+AB28</f>
        <v>47950</v>
      </c>
      <c r="AF28" s="72" t="n">
        <f aca="false">AE28+AE29</f>
        <v>136200</v>
      </c>
      <c r="AG28" s="71" t="n">
        <v>19956</v>
      </c>
      <c r="AH28" s="48"/>
      <c r="AI28" s="74" t="n">
        <f aca="false">AD28</f>
        <v>29000</v>
      </c>
      <c r="AJ28" s="75"/>
      <c r="AK28" s="75"/>
      <c r="AL28" s="75"/>
      <c r="AM28" s="76" t="n">
        <f aca="false">AC28</f>
        <v>21750</v>
      </c>
      <c r="AN28" s="138"/>
      <c r="AO28" s="74" t="n">
        <f aca="false">AD29</f>
        <v>66500</v>
      </c>
      <c r="AP28" s="75"/>
      <c r="AQ28" s="75"/>
      <c r="AR28" s="75"/>
      <c r="AS28" s="130" t="n">
        <f aca="false">AC29</f>
        <v>21750</v>
      </c>
      <c r="AT28" s="47"/>
      <c r="AU28" s="31"/>
      <c r="AV28" s="21"/>
      <c r="AW28" s="21"/>
      <c r="AX28" s="21"/>
      <c r="AY28" s="21"/>
      <c r="AZ28" s="21"/>
      <c r="BA28" s="21"/>
      <c r="BB28" s="21"/>
    </row>
    <row collapsed="false" customFormat="false" customHeight="true" hidden="false" ht="15.75" outlineLevel="0" r="29">
      <c r="A29" s="32"/>
      <c r="B29" s="32"/>
      <c r="C29" s="50"/>
      <c r="D29" s="51"/>
      <c r="E29" s="136"/>
      <c r="F29" s="78"/>
      <c r="G29" s="54" t="s">
        <v>44</v>
      </c>
      <c r="H29" s="79" t="n">
        <v>46007</v>
      </c>
      <c r="I29" s="79" t="n">
        <v>46022</v>
      </c>
      <c r="J29" s="139" t="n">
        <v>88</v>
      </c>
      <c r="K29" s="81"/>
      <c r="L29" s="101"/>
      <c r="M29" s="108"/>
      <c r="N29" s="83" t="n">
        <v>136300</v>
      </c>
      <c r="O29" s="60" t="n">
        <v>22</v>
      </c>
      <c r="P29" s="59" t="n">
        <f aca="false">N29/O29/8*J29</f>
        <v>68150</v>
      </c>
      <c r="Q29" s="84"/>
      <c r="R29" s="85"/>
      <c r="S29" s="85"/>
      <c r="T29" s="85"/>
      <c r="U29" s="85"/>
      <c r="V29" s="85"/>
      <c r="W29" s="87"/>
      <c r="X29" s="65" t="n">
        <f aca="false">P29+Q29+R29+S29+T29+U29+V29+W29</f>
        <v>68150</v>
      </c>
      <c r="Y29" s="88"/>
      <c r="Z29" s="89" t="n">
        <f aca="false">AG28</f>
        <v>19956</v>
      </c>
      <c r="AA29" s="68" t="n">
        <f aca="false">X29+Y29+Z29</f>
        <v>88106</v>
      </c>
      <c r="AB29" s="91"/>
      <c r="AC29" s="103" t="n">
        <v>21750</v>
      </c>
      <c r="AD29" s="92" t="n">
        <v>66500</v>
      </c>
      <c r="AE29" s="71" t="n">
        <f aca="false">AC29+AD29+AB29</f>
        <v>88250</v>
      </c>
      <c r="AF29" s="92"/>
      <c r="AG29" s="104" t="n">
        <v>-144</v>
      </c>
      <c r="AH29" s="105"/>
      <c r="AI29" s="74"/>
      <c r="AJ29" s="75"/>
      <c r="AK29" s="75"/>
      <c r="AL29" s="75"/>
      <c r="AM29" s="140"/>
      <c r="AN29" s="138"/>
      <c r="AO29" s="74"/>
      <c r="AP29" s="74"/>
      <c r="AQ29" s="74"/>
      <c r="AR29" s="75"/>
      <c r="AS29" s="130"/>
      <c r="AT29" s="47"/>
      <c r="AU29" s="134"/>
      <c r="AV29" s="21"/>
      <c r="AW29" s="21"/>
      <c r="AX29" s="21"/>
      <c r="AY29" s="21"/>
      <c r="AZ29" s="21"/>
      <c r="BA29" s="21"/>
      <c r="BB29" s="21"/>
    </row>
    <row collapsed="false" customFormat="false" customHeight="true" hidden="false" ht="15.75" outlineLevel="0" r="30">
      <c r="A30" s="32"/>
      <c r="B30" s="32"/>
      <c r="G30" s="141"/>
      <c r="H30" s="142"/>
      <c r="I30" s="55"/>
      <c r="Q30" s="143"/>
      <c r="R30" s="144"/>
      <c r="S30" s="144"/>
      <c r="T30" s="144"/>
      <c r="U30" s="144"/>
      <c r="V30" s="144"/>
      <c r="W30" s="144"/>
      <c r="Z30" s="143"/>
      <c r="AA30" s="143"/>
      <c r="AB30" s="143"/>
      <c r="AC30" s="143"/>
      <c r="AD30" s="143"/>
      <c r="AE30" s="143"/>
      <c r="AF30" s="143"/>
      <c r="AG30" s="143"/>
      <c r="AH30" s="145"/>
      <c r="AI30" s="146"/>
      <c r="AJ30" s="147"/>
      <c r="AK30" s="148"/>
      <c r="AL30" s="148"/>
      <c r="AM30" s="147"/>
      <c r="AN30" s="147"/>
      <c r="AO30" s="146"/>
      <c r="AP30" s="146"/>
      <c r="AQ30" s="148"/>
      <c r="AR30" s="148"/>
      <c r="AS30" s="147"/>
      <c r="AT30" s="145"/>
      <c r="AU30" s="31"/>
      <c r="AV30" s="21"/>
      <c r="AW30" s="21"/>
      <c r="AX30" s="21"/>
      <c r="AY30" s="21"/>
      <c r="AZ30" s="21"/>
      <c r="BA30" s="21"/>
      <c r="BB30" s="21"/>
    </row>
    <row collapsed="false" customFormat="false" customHeight="true" hidden="false" ht="15.75" outlineLevel="0" r="31">
      <c r="A31" s="32"/>
      <c r="B31" s="32"/>
      <c r="G31" s="141"/>
      <c r="H31" s="79"/>
      <c r="I31" s="149"/>
      <c r="L31" s="144"/>
      <c r="R31" s="144"/>
      <c r="S31" s="144"/>
      <c r="T31" s="144"/>
      <c r="U31" s="144"/>
      <c r="V31" s="144"/>
      <c r="W31" s="144"/>
      <c r="AG31" s="143"/>
      <c r="AH31" s="21"/>
      <c r="AI31" s="21"/>
      <c r="AJ31" s="21"/>
      <c r="AK31" s="21"/>
      <c r="AL31" s="21"/>
      <c r="AM31" s="21"/>
      <c r="AN31" s="21"/>
      <c r="AO31" s="21" t="s">
        <v>65</v>
      </c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</row>
    <row collapsed="false" customFormat="false" customHeight="true" hidden="false" ht="15.75" outlineLevel="0" r="32">
      <c r="A32" s="32"/>
      <c r="B32" s="32"/>
      <c r="C32" s="150"/>
      <c r="D32" s="150"/>
      <c r="E32" s="150"/>
      <c r="F32" s="150"/>
      <c r="G32" s="141"/>
      <c r="H32" s="142"/>
      <c r="I32" s="55"/>
      <c r="J32" s="151" t="s">
        <v>66</v>
      </c>
      <c r="K32" s="151"/>
      <c r="L32" s="151"/>
      <c r="M32" s="151"/>
      <c r="N32" s="151"/>
      <c r="O32" s="151"/>
      <c r="P32" s="150"/>
      <c r="Q32" s="150"/>
      <c r="R32" s="152" t="n">
        <v>16</v>
      </c>
      <c r="S32" s="152"/>
      <c r="T32" s="152"/>
      <c r="U32" s="152"/>
      <c r="V32" s="152"/>
      <c r="W32" s="152"/>
      <c r="X32" s="150"/>
      <c r="Y32" s="150"/>
      <c r="Z32" s="150"/>
      <c r="AA32" s="150"/>
      <c r="AB32" s="150"/>
      <c r="AC32" s="150"/>
      <c r="AD32" s="150"/>
      <c r="AE32" s="150"/>
      <c r="AF32" s="150"/>
      <c r="AG32" s="153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21"/>
      <c r="AV32" s="21"/>
      <c r="AW32" s="21"/>
      <c r="AX32" s="21"/>
      <c r="AY32" s="21"/>
      <c r="AZ32" s="21"/>
      <c r="BA32" s="21"/>
      <c r="BB32" s="21"/>
    </row>
    <row collapsed="false" customFormat="false" customHeight="true" hidden="false" ht="15.75" outlineLevel="0" r="33">
      <c r="A33" s="32"/>
      <c r="B33" s="32"/>
      <c r="C33" s="32"/>
      <c r="D33" s="1"/>
      <c r="E33" s="2"/>
      <c r="F33" s="2" t="s">
        <v>2</v>
      </c>
      <c r="G33" s="2"/>
      <c r="H33" s="3" t="s">
        <v>3</v>
      </c>
      <c r="I33" s="4" t="s">
        <v>4</v>
      </c>
      <c r="J33" s="7" t="s">
        <v>67</v>
      </c>
      <c r="K33" s="7" t="s">
        <v>68</v>
      </c>
      <c r="L33" s="5" t="s">
        <v>69</v>
      </c>
      <c r="M33" s="7" t="s">
        <v>8</v>
      </c>
      <c r="N33" s="7" t="s">
        <v>9</v>
      </c>
      <c r="O33" s="8" t="s">
        <v>70</v>
      </c>
      <c r="P33" s="8" t="s">
        <v>71</v>
      </c>
      <c r="Q33" s="9" t="s">
        <v>12</v>
      </c>
      <c r="R33" s="10" t="s">
        <v>13</v>
      </c>
      <c r="S33" s="10" t="s">
        <v>14</v>
      </c>
      <c r="T33" s="10" t="s">
        <v>15</v>
      </c>
      <c r="U33" s="10" t="s">
        <v>16</v>
      </c>
      <c r="V33" s="10" t="s">
        <v>17</v>
      </c>
      <c r="W33" s="10" t="s">
        <v>18</v>
      </c>
      <c r="X33" s="11" t="s">
        <v>19</v>
      </c>
      <c r="Y33" s="11" t="s">
        <v>20</v>
      </c>
      <c r="Z33" s="12" t="s">
        <v>21</v>
      </c>
      <c r="AA33" s="13" t="s">
        <v>22</v>
      </c>
      <c r="AB33" s="12" t="s">
        <v>23</v>
      </c>
      <c r="AC33" s="155"/>
      <c r="AD33" s="1"/>
      <c r="AE33" s="2" t="s">
        <v>72</v>
      </c>
      <c r="AF33" s="2" t="s">
        <v>27</v>
      </c>
      <c r="AG33" s="14" t="s">
        <v>28</v>
      </c>
      <c r="AH33" s="2" t="s">
        <v>29</v>
      </c>
      <c r="AI33" s="21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21"/>
      <c r="AV33" s="21"/>
      <c r="AW33" s="21"/>
      <c r="AX33" s="21"/>
      <c r="AY33" s="21"/>
      <c r="AZ33" s="21"/>
      <c r="BA33" s="21"/>
      <c r="BB33" s="21"/>
    </row>
    <row collapsed="false" customFormat="false" customHeight="true" hidden="false" ht="15.75" outlineLevel="0" r="34">
      <c r="A34" s="32"/>
      <c r="B34" s="32"/>
      <c r="C34" s="50" t="n">
        <v>1</v>
      </c>
      <c r="D34" s="157" t="s">
        <v>73</v>
      </c>
      <c r="E34" s="158" t="s">
        <v>74</v>
      </c>
      <c r="F34" s="53" t="s">
        <v>64</v>
      </c>
      <c r="G34" s="54" t="s">
        <v>44</v>
      </c>
      <c r="H34" s="55" t="n">
        <v>45992</v>
      </c>
      <c r="I34" s="55" t="n">
        <v>46006</v>
      </c>
      <c r="J34" s="56" t="n">
        <v>88</v>
      </c>
      <c r="K34" s="57"/>
      <c r="L34" s="159"/>
      <c r="M34" s="58"/>
      <c r="N34" s="59" t="n">
        <v>120000</v>
      </c>
      <c r="O34" s="60" t="n">
        <v>176</v>
      </c>
      <c r="P34" s="59" t="n">
        <f aca="false">N34/O34*(J34+K34+L34+M34)</f>
        <v>60000</v>
      </c>
      <c r="Q34" s="61"/>
      <c r="R34" s="62"/>
      <c r="S34" s="62"/>
      <c r="T34" s="62"/>
      <c r="U34" s="62"/>
      <c r="V34" s="62"/>
      <c r="W34" s="64"/>
      <c r="X34" s="65" t="n">
        <f aca="false">SUM(P34:W34)</f>
        <v>60000</v>
      </c>
      <c r="Y34" s="66"/>
      <c r="Z34" s="67" t="n">
        <v>35</v>
      </c>
      <c r="AA34" s="68" t="n">
        <f aca="false">X34+Y34+Z34</f>
        <v>60035</v>
      </c>
      <c r="AB34" s="91"/>
      <c r="AC34" s="70" t="n">
        <v>21204</v>
      </c>
      <c r="AD34" s="71" t="n">
        <v>39000</v>
      </c>
      <c r="AE34" s="71" t="n">
        <f aca="false">AC34+AD34+AB34</f>
        <v>60204</v>
      </c>
      <c r="AF34" s="72" t="n">
        <f aca="false">AE34+AE35</f>
        <v>119954</v>
      </c>
      <c r="AG34" s="71" t="n">
        <v>-168.999999999993</v>
      </c>
      <c r="AH34" s="160"/>
      <c r="AI34" s="161" t="n">
        <f aca="false">AD34</f>
        <v>39000</v>
      </c>
      <c r="AJ34" s="75"/>
      <c r="AK34" s="75"/>
      <c r="AL34" s="75"/>
      <c r="AM34" s="76" t="n">
        <f aca="false">AC34</f>
        <v>21204</v>
      </c>
      <c r="AN34" s="76"/>
      <c r="AO34" s="74" t="n">
        <f aca="false">AD35</f>
        <v>38000</v>
      </c>
      <c r="AP34" s="75"/>
      <c r="AQ34" s="75"/>
      <c r="AR34" s="75"/>
      <c r="AS34" s="76" t="n">
        <f aca="false">AC35</f>
        <v>21750</v>
      </c>
      <c r="AT34" s="76"/>
      <c r="AU34" s="134"/>
      <c r="AV34" s="21"/>
      <c r="AW34" s="21"/>
      <c r="AX34" s="21"/>
      <c r="AY34" s="21"/>
      <c r="AZ34" s="21"/>
      <c r="BA34" s="21"/>
      <c r="BB34" s="21"/>
    </row>
    <row collapsed="false" customFormat="false" customHeight="true" hidden="false" ht="15.75" outlineLevel="0" r="35">
      <c r="A35" s="32"/>
      <c r="B35" s="32"/>
      <c r="C35" s="50"/>
      <c r="D35" s="157"/>
      <c r="E35" s="157"/>
      <c r="F35" s="78"/>
      <c r="G35" s="54" t="s">
        <v>44</v>
      </c>
      <c r="H35" s="79" t="n">
        <v>46007</v>
      </c>
      <c r="I35" s="79" t="n">
        <v>46022</v>
      </c>
      <c r="J35" s="80" t="n">
        <f aca="false">176-J34</f>
        <v>88</v>
      </c>
      <c r="K35" s="81"/>
      <c r="L35" s="82"/>
      <c r="M35" s="108"/>
      <c r="N35" s="162" t="n">
        <v>120000</v>
      </c>
      <c r="O35" s="60" t="n">
        <v>176</v>
      </c>
      <c r="P35" s="59" t="n">
        <f aca="false">N35/O35*(J35+K35+L35+M35)</f>
        <v>60000</v>
      </c>
      <c r="Q35" s="84"/>
      <c r="R35" s="85"/>
      <c r="S35" s="85"/>
      <c r="T35" s="85"/>
      <c r="U35" s="85"/>
      <c r="V35" s="85"/>
      <c r="W35" s="87"/>
      <c r="X35" s="88" t="n">
        <f aca="false">SUM(P35:W35)</f>
        <v>60000</v>
      </c>
      <c r="Y35" s="88"/>
      <c r="Z35" s="89" t="n">
        <f aca="false">AG34</f>
        <v>-168.999999999993</v>
      </c>
      <c r="AA35" s="68" t="n">
        <f aca="false">X35+Y35+Z35</f>
        <v>59831</v>
      </c>
      <c r="AB35" s="91"/>
      <c r="AC35" s="103" t="n">
        <v>21750</v>
      </c>
      <c r="AD35" s="92" t="n">
        <v>38000</v>
      </c>
      <c r="AE35" s="71" t="n">
        <f aca="false">AC35+AD35</f>
        <v>59750</v>
      </c>
      <c r="AF35" s="92"/>
      <c r="AG35" s="104" t="n">
        <v>81.0000000000145</v>
      </c>
      <c r="AH35" s="163"/>
      <c r="AI35" s="161"/>
      <c r="AJ35" s="75"/>
      <c r="AK35" s="75"/>
      <c r="AL35" s="75"/>
      <c r="AM35" s="76"/>
      <c r="AN35" s="76"/>
      <c r="AO35" s="74"/>
      <c r="AP35" s="75"/>
      <c r="AQ35" s="75"/>
      <c r="AR35" s="75"/>
      <c r="AS35" s="76"/>
      <c r="AT35" s="76"/>
      <c r="AU35" s="31"/>
      <c r="AV35" s="21"/>
      <c r="AW35" s="21"/>
      <c r="AX35" s="21"/>
      <c r="AY35" s="21"/>
      <c r="AZ35" s="21"/>
      <c r="BA35" s="21"/>
      <c r="BB35" s="21"/>
    </row>
    <row collapsed="false" customFormat="false" customHeight="true" hidden="false" ht="15.75" outlineLevel="0" r="36">
      <c r="A36" s="32"/>
      <c r="B36" s="164" t="n">
        <v>45110</v>
      </c>
      <c r="C36" s="50" t="n">
        <v>2</v>
      </c>
      <c r="D36" s="165" t="s">
        <v>75</v>
      </c>
      <c r="E36" s="166" t="s">
        <v>76</v>
      </c>
      <c r="F36" s="53" t="s">
        <v>64</v>
      </c>
      <c r="G36" s="54" t="s">
        <v>44</v>
      </c>
      <c r="H36" s="55" t="n">
        <v>45992</v>
      </c>
      <c r="I36" s="55" t="n">
        <v>46006</v>
      </c>
      <c r="J36" s="56" t="n">
        <v>88</v>
      </c>
      <c r="K36" s="57"/>
      <c r="L36" s="167"/>
      <c r="M36" s="168"/>
      <c r="N36" s="169" t="n">
        <v>70000</v>
      </c>
      <c r="O36" s="60" t="n">
        <v>176</v>
      </c>
      <c r="P36" s="59" t="n">
        <f aca="false">N36/O36*(J36+K36+L36+M36)</f>
        <v>35000</v>
      </c>
      <c r="Q36" s="67" t="n">
        <v>71322</v>
      </c>
      <c r="R36" s="62"/>
      <c r="S36" s="62" t="n">
        <v>25788.63</v>
      </c>
      <c r="T36" s="62"/>
      <c r="U36" s="62"/>
      <c r="V36" s="62"/>
      <c r="W36" s="64"/>
      <c r="X36" s="65" t="n">
        <f aca="false">SUM(P36:W36)</f>
        <v>132110.63</v>
      </c>
      <c r="Y36" s="66"/>
      <c r="Z36" s="67" t="n">
        <v>-43</v>
      </c>
      <c r="AA36" s="68" t="n">
        <f aca="false">X36+Y36+Z36</f>
        <v>132067.63</v>
      </c>
      <c r="AB36" s="57" t="n">
        <v>25952</v>
      </c>
      <c r="AC36" s="70" t="n">
        <v>21750</v>
      </c>
      <c r="AD36" s="71" t="n">
        <v>84500</v>
      </c>
      <c r="AE36" s="71" t="n">
        <f aca="false">AC36+AD36+AB36</f>
        <v>132202</v>
      </c>
      <c r="AF36" s="72" t="n">
        <f aca="false">AE36+AE37</f>
        <v>151066.36</v>
      </c>
      <c r="AG36" s="71" t="n">
        <v>-134.369999999995</v>
      </c>
      <c r="AH36" s="170"/>
      <c r="AI36" s="161" t="n">
        <f aca="false">AD36</f>
        <v>84500</v>
      </c>
      <c r="AJ36" s="75"/>
      <c r="AK36" s="75"/>
      <c r="AL36" s="75"/>
      <c r="AM36" s="76" t="n">
        <f aca="false">AC36</f>
        <v>21750</v>
      </c>
      <c r="AN36" s="76"/>
      <c r="AO36" s="74" t="n">
        <f aca="false">AD37</f>
        <v>7000</v>
      </c>
      <c r="AP36" s="75"/>
      <c r="AQ36" s="75"/>
      <c r="AR36" s="75"/>
      <c r="AS36" s="76" t="n">
        <f aca="false">AC37</f>
        <v>11864.36</v>
      </c>
      <c r="AT36" s="76"/>
      <c r="AU36" s="48"/>
      <c r="AV36" s="21"/>
      <c r="AW36" s="21"/>
      <c r="AX36" s="21"/>
      <c r="AY36" s="21"/>
      <c r="AZ36" s="21"/>
      <c r="BA36" s="21"/>
      <c r="BB36" s="21"/>
    </row>
    <row collapsed="false" customFormat="false" customHeight="true" hidden="false" ht="15.75" outlineLevel="0" r="37">
      <c r="A37" s="32"/>
      <c r="B37" s="32"/>
      <c r="C37" s="50"/>
      <c r="D37" s="165"/>
      <c r="E37" s="166"/>
      <c r="F37" s="78"/>
      <c r="G37" s="54" t="s">
        <v>44</v>
      </c>
      <c r="H37" s="79" t="n">
        <v>46007</v>
      </c>
      <c r="I37" s="79" t="n">
        <v>46022</v>
      </c>
      <c r="J37" s="80" t="n">
        <f aca="false">136-J36</f>
        <v>48</v>
      </c>
      <c r="K37" s="81"/>
      <c r="L37" s="82"/>
      <c r="M37" s="171"/>
      <c r="N37" s="162" t="n">
        <v>70000</v>
      </c>
      <c r="O37" s="60" t="n">
        <v>176</v>
      </c>
      <c r="P37" s="59" t="n">
        <f aca="false">N37/O37*(J37+K37+L37+M37)</f>
        <v>19090.9090909091</v>
      </c>
      <c r="Q37" s="84"/>
      <c r="R37" s="85"/>
      <c r="S37" s="85"/>
      <c r="T37" s="85"/>
      <c r="U37" s="85"/>
      <c r="V37" s="85"/>
      <c r="W37" s="87"/>
      <c r="X37" s="88" t="n">
        <f aca="false">SUM(P37:W37)</f>
        <v>19090.9090909091</v>
      </c>
      <c r="Y37" s="88"/>
      <c r="Z37" s="89" t="n">
        <f aca="false">AG36</f>
        <v>-134.369999999995</v>
      </c>
      <c r="AA37" s="90" t="n">
        <f aca="false">X37+Y37+Z37</f>
        <v>18956.5390909091</v>
      </c>
      <c r="AB37" s="81"/>
      <c r="AC37" s="103" t="n">
        <v>11864.36</v>
      </c>
      <c r="AD37" s="92" t="n">
        <v>7000</v>
      </c>
      <c r="AE37" s="92" t="n">
        <f aca="false">AC37+AD37+AB37</f>
        <v>18864.36</v>
      </c>
      <c r="AF37" s="92"/>
      <c r="AG37" s="104" t="n">
        <v>92.179090909096</v>
      </c>
      <c r="AH37" s="163"/>
      <c r="AI37" s="161"/>
      <c r="AJ37" s="75"/>
      <c r="AK37" s="75"/>
      <c r="AL37" s="75"/>
      <c r="AM37" s="76"/>
      <c r="AN37" s="76"/>
      <c r="AO37" s="74"/>
      <c r="AP37" s="75"/>
      <c r="AQ37" s="75"/>
      <c r="AR37" s="75"/>
      <c r="AS37" s="76"/>
      <c r="AT37" s="76"/>
      <c r="AU37" s="31"/>
      <c r="AV37" s="21"/>
      <c r="AW37" s="21"/>
      <c r="AX37" s="21"/>
      <c r="AY37" s="21"/>
      <c r="AZ37" s="21"/>
      <c r="BA37" s="21"/>
      <c r="BB37" s="21"/>
    </row>
    <row collapsed="false" customFormat="false" customHeight="true" hidden="false" ht="15.75" outlineLevel="0" r="38">
      <c r="A38" s="32" t="s">
        <v>77</v>
      </c>
      <c r="B38" s="164" t="n">
        <v>45586</v>
      </c>
      <c r="C38" s="50" t="n">
        <v>3</v>
      </c>
      <c r="D38" s="165" t="s">
        <v>78</v>
      </c>
      <c r="E38" s="166" t="s">
        <v>76</v>
      </c>
      <c r="F38" s="53" t="s">
        <v>64</v>
      </c>
      <c r="G38" s="54" t="s">
        <v>44</v>
      </c>
      <c r="H38" s="55" t="n">
        <v>45992</v>
      </c>
      <c r="I38" s="55" t="n">
        <v>46006</v>
      </c>
      <c r="J38" s="56" t="n">
        <v>88</v>
      </c>
      <c r="K38" s="57"/>
      <c r="L38" s="172"/>
      <c r="M38" s="168"/>
      <c r="N38" s="169" t="n">
        <v>70000</v>
      </c>
      <c r="O38" s="60" t="n">
        <v>176</v>
      </c>
      <c r="P38" s="59" t="n">
        <f aca="false">N38/O38*(J38+K38+L38+M38)</f>
        <v>35000</v>
      </c>
      <c r="Q38" s="67" t="n">
        <v>51392</v>
      </c>
      <c r="R38" s="62"/>
      <c r="S38" s="62"/>
      <c r="T38" s="62"/>
      <c r="U38" s="62"/>
      <c r="V38" s="62"/>
      <c r="W38" s="159"/>
      <c r="X38" s="65" t="n">
        <f aca="false">SUM(P38:W38)</f>
        <v>86392</v>
      </c>
      <c r="Y38" s="66"/>
      <c r="Z38" s="67" t="n">
        <v>39</v>
      </c>
      <c r="AA38" s="68" t="n">
        <f aca="false">X38+Y38+Z38</f>
        <v>86431</v>
      </c>
      <c r="AB38" s="69"/>
      <c r="AC38" s="70" t="n">
        <v>13050</v>
      </c>
      <c r="AD38" s="173" t="n">
        <v>73500</v>
      </c>
      <c r="AE38" s="71" t="n">
        <f aca="false">AC38+AD38+AB38</f>
        <v>86550</v>
      </c>
      <c r="AF38" s="72" t="n">
        <f aca="false">AE38+AE39</f>
        <v>121600</v>
      </c>
      <c r="AG38" s="71" t="n">
        <v>-119</v>
      </c>
      <c r="AH38" s="170"/>
      <c r="AI38" s="161" t="n">
        <f aca="false">AD38</f>
        <v>73500</v>
      </c>
      <c r="AJ38" s="75"/>
      <c r="AK38" s="99" t="n">
        <f aca="false">AC38</f>
        <v>13050</v>
      </c>
      <c r="AL38" s="75"/>
      <c r="AM38" s="75"/>
      <c r="AN38" s="75"/>
      <c r="AO38" s="74" t="n">
        <f aca="false">AD39</f>
        <v>22000</v>
      </c>
      <c r="AP38" s="75"/>
      <c r="AQ38" s="99" t="n">
        <f aca="false">AC39</f>
        <v>13050</v>
      </c>
      <c r="AR38" s="75"/>
      <c r="AS38" s="75"/>
      <c r="AT38" s="76"/>
      <c r="AU38" s="48"/>
      <c r="AV38" s="21"/>
      <c r="AW38" s="21"/>
      <c r="AX38" s="21"/>
      <c r="AY38" s="21"/>
      <c r="AZ38" s="21"/>
      <c r="BA38" s="21"/>
      <c r="BB38" s="21"/>
    </row>
    <row collapsed="false" customFormat="false" customHeight="true" hidden="false" ht="15.75" outlineLevel="0" r="39">
      <c r="A39" s="32" t="s">
        <v>79</v>
      </c>
      <c r="B39" s="32"/>
      <c r="C39" s="50"/>
      <c r="D39" s="165"/>
      <c r="E39" s="166"/>
      <c r="F39" s="78"/>
      <c r="G39" s="54" t="s">
        <v>44</v>
      </c>
      <c r="H39" s="79" t="n">
        <v>46007</v>
      </c>
      <c r="I39" s="79" t="n">
        <v>46022</v>
      </c>
      <c r="J39" s="80" t="n">
        <v>88</v>
      </c>
      <c r="K39" s="81"/>
      <c r="L39" s="82"/>
      <c r="M39" s="171"/>
      <c r="N39" s="169" t="n">
        <f aca="false">N38</f>
        <v>70000</v>
      </c>
      <c r="O39" s="60" t="n">
        <v>176</v>
      </c>
      <c r="P39" s="59" t="n">
        <f aca="false">N39/O39*(J39+K39+L39+M39)</f>
        <v>35000</v>
      </c>
      <c r="Q39" s="84"/>
      <c r="R39" s="85"/>
      <c r="S39" s="85"/>
      <c r="T39" s="85"/>
      <c r="U39" s="85"/>
      <c r="V39" s="85"/>
      <c r="W39" s="87"/>
      <c r="X39" s="88" t="n">
        <f aca="false">SUM(P39:W39)</f>
        <v>35000</v>
      </c>
      <c r="Y39" s="88"/>
      <c r="Z39" s="89" t="n">
        <f aca="false">AG38</f>
        <v>-119</v>
      </c>
      <c r="AA39" s="90" t="n">
        <f aca="false">X39+Y39+Z39</f>
        <v>34881</v>
      </c>
      <c r="AB39" s="91"/>
      <c r="AC39" s="103" t="n">
        <v>13050</v>
      </c>
      <c r="AD39" s="92" t="n">
        <v>22000</v>
      </c>
      <c r="AE39" s="92" t="n">
        <f aca="false">AC39+AD39+AB39</f>
        <v>35050</v>
      </c>
      <c r="AF39" s="92"/>
      <c r="AG39" s="104" t="n">
        <v>-169</v>
      </c>
      <c r="AH39" s="163"/>
      <c r="AI39" s="161"/>
      <c r="AJ39" s="75"/>
      <c r="AK39" s="99"/>
      <c r="AL39" s="75"/>
      <c r="AM39" s="75"/>
      <c r="AN39" s="75"/>
      <c r="AO39" s="74"/>
      <c r="AP39" s="75"/>
      <c r="AQ39" s="75"/>
      <c r="AR39" s="75"/>
      <c r="AS39" s="75"/>
      <c r="AT39" s="76"/>
      <c r="AU39" s="31"/>
      <c r="AV39" s="21"/>
      <c r="AW39" s="21"/>
      <c r="AX39" s="21"/>
      <c r="AY39" s="21"/>
      <c r="AZ39" s="21"/>
      <c r="BA39" s="21"/>
      <c r="BB39" s="21"/>
    </row>
    <row collapsed="false" customFormat="false" customHeight="true" hidden="false" ht="15.75" outlineLevel="0" r="40">
      <c r="A40" s="32" t="s">
        <v>77</v>
      </c>
      <c r="B40" s="164" t="n">
        <v>45403</v>
      </c>
      <c r="C40" s="50" t="n">
        <v>4</v>
      </c>
      <c r="D40" s="165" t="s">
        <v>80</v>
      </c>
      <c r="E40" s="166" t="s">
        <v>76</v>
      </c>
      <c r="F40" s="53" t="s">
        <v>64</v>
      </c>
      <c r="G40" s="54" t="s">
        <v>44</v>
      </c>
      <c r="H40" s="55" t="n">
        <v>45992</v>
      </c>
      <c r="I40" s="55" t="n">
        <v>46006</v>
      </c>
      <c r="J40" s="56" t="n">
        <v>88</v>
      </c>
      <c r="K40" s="57"/>
      <c r="L40" s="172"/>
      <c r="M40" s="168"/>
      <c r="N40" s="169" t="n">
        <v>50000</v>
      </c>
      <c r="O40" s="60" t="n">
        <v>176</v>
      </c>
      <c r="P40" s="59" t="n">
        <f aca="false">N40/O40*(J40+K40+L40+M40)</f>
        <v>25000</v>
      </c>
      <c r="Q40" s="67" t="n">
        <v>71392</v>
      </c>
      <c r="R40" s="62"/>
      <c r="S40" s="62"/>
      <c r="T40" s="62"/>
      <c r="U40" s="62"/>
      <c r="V40" s="62"/>
      <c r="W40" s="159"/>
      <c r="X40" s="65" t="n">
        <f aca="false">SUM(P40:W40)</f>
        <v>96392</v>
      </c>
      <c r="Y40" s="66"/>
      <c r="Z40" s="67" t="n">
        <v>-20</v>
      </c>
      <c r="AA40" s="68" t="n">
        <f aca="false">X40+Y40+Z40</f>
        <v>96372</v>
      </c>
      <c r="AB40" s="69"/>
      <c r="AC40" s="70" t="n">
        <v>21750</v>
      </c>
      <c r="AD40" s="173" t="n">
        <v>74500</v>
      </c>
      <c r="AE40" s="71" t="n">
        <f aca="false">AC40+AD40+AB40</f>
        <v>96250</v>
      </c>
      <c r="AF40" s="72" t="n">
        <f aca="false">AE40+AE41</f>
        <v>121500</v>
      </c>
      <c r="AG40" s="71" t="n">
        <v>122</v>
      </c>
      <c r="AH40" s="170"/>
      <c r="AI40" s="161" t="n">
        <f aca="false">AD40</f>
        <v>74500</v>
      </c>
      <c r="AJ40" s="75"/>
      <c r="AK40" s="75"/>
      <c r="AL40" s="75"/>
      <c r="AM40" s="76" t="n">
        <f aca="false">AC40</f>
        <v>21750</v>
      </c>
      <c r="AN40" s="75"/>
      <c r="AO40" s="74" t="n">
        <f aca="false">AD41</f>
        <v>3500</v>
      </c>
      <c r="AP40" s="75"/>
      <c r="AQ40" s="75"/>
      <c r="AR40" s="75"/>
      <c r="AS40" s="76" t="n">
        <f aca="false">AC41</f>
        <v>21750</v>
      </c>
      <c r="AT40" s="76"/>
      <c r="AU40" s="48"/>
      <c r="AV40" s="21"/>
      <c r="AW40" s="21"/>
      <c r="AX40" s="21"/>
      <c r="AY40" s="21"/>
      <c r="AZ40" s="21"/>
      <c r="BA40" s="21"/>
      <c r="BB40" s="21"/>
    </row>
    <row collapsed="false" customFormat="false" customHeight="true" hidden="false" ht="15.75" outlineLevel="0" r="41">
      <c r="A41" s="32"/>
      <c r="B41" s="32"/>
      <c r="C41" s="50"/>
      <c r="D41" s="165"/>
      <c r="E41" s="166"/>
      <c r="F41" s="53" t="s">
        <v>64</v>
      </c>
      <c r="G41" s="54" t="s">
        <v>44</v>
      </c>
      <c r="H41" s="79" t="n">
        <v>46007</v>
      </c>
      <c r="I41" s="79" t="n">
        <v>46022</v>
      </c>
      <c r="J41" s="80" t="n">
        <f aca="false">176-J40</f>
        <v>88</v>
      </c>
      <c r="K41" s="81"/>
      <c r="L41" s="82"/>
      <c r="M41" s="171"/>
      <c r="N41" s="169" t="n">
        <v>50000</v>
      </c>
      <c r="O41" s="60" t="n">
        <v>176</v>
      </c>
      <c r="P41" s="59" t="n">
        <f aca="false">N41/O41*(J41+K41+L41+M41)</f>
        <v>25000</v>
      </c>
      <c r="Q41" s="84"/>
      <c r="R41" s="85"/>
      <c r="S41" s="85"/>
      <c r="T41" s="85"/>
      <c r="U41" s="85"/>
      <c r="V41" s="85"/>
      <c r="W41" s="87"/>
      <c r="X41" s="65" t="n">
        <f aca="false">SUM(P41:W41)</f>
        <v>25000</v>
      </c>
      <c r="Y41" s="88"/>
      <c r="Z41" s="89" t="n">
        <f aca="false">AG40</f>
        <v>122</v>
      </c>
      <c r="AA41" s="68" t="n">
        <f aca="false">X41+Y41+Z41</f>
        <v>25122</v>
      </c>
      <c r="AB41" s="91"/>
      <c r="AC41" s="103" t="n">
        <v>21750</v>
      </c>
      <c r="AD41" s="92" t="n">
        <v>3500</v>
      </c>
      <c r="AE41" s="71" t="n">
        <f aca="false">AC41+AD41+AB41</f>
        <v>25250</v>
      </c>
      <c r="AF41" s="72"/>
      <c r="AG41" s="104" t="n">
        <v>-128.000000000004</v>
      </c>
      <c r="AH41" s="163"/>
      <c r="AI41" s="161"/>
      <c r="AJ41" s="75"/>
      <c r="AK41" s="75"/>
      <c r="AL41" s="75"/>
      <c r="AM41" s="76"/>
      <c r="AN41" s="75"/>
      <c r="AO41" s="74"/>
      <c r="AP41" s="75"/>
      <c r="AQ41" s="75"/>
      <c r="AR41" s="75"/>
      <c r="AS41" s="76"/>
      <c r="AT41" s="76"/>
      <c r="AU41" s="31"/>
      <c r="AV41" s="21"/>
      <c r="AW41" s="21"/>
      <c r="AX41" s="21"/>
      <c r="AY41" s="21"/>
      <c r="AZ41" s="21"/>
      <c r="BA41" s="21"/>
      <c r="BB41" s="21"/>
    </row>
    <row collapsed="false" customFormat="false" customHeight="true" hidden="false" ht="15.75" outlineLevel="0" r="42">
      <c r="A42" s="49"/>
      <c r="B42" s="32"/>
      <c r="C42" s="50" t="n">
        <v>5</v>
      </c>
      <c r="D42" s="165" t="s">
        <v>81</v>
      </c>
      <c r="E42" s="166" t="s">
        <v>76</v>
      </c>
      <c r="F42" s="53" t="s">
        <v>64</v>
      </c>
      <c r="G42" s="54" t="s">
        <v>44</v>
      </c>
      <c r="H42" s="55" t="n">
        <v>45992</v>
      </c>
      <c r="I42" s="55" t="n">
        <v>46006</v>
      </c>
      <c r="J42" s="56"/>
      <c r="K42" s="57"/>
      <c r="L42" s="172"/>
      <c r="M42" s="168"/>
      <c r="N42" s="169" t="n">
        <v>30000</v>
      </c>
      <c r="O42" s="60" t="n">
        <v>176</v>
      </c>
      <c r="P42" s="59" t="n">
        <f aca="false">N42/O42*(J42+K42+L42+M42)</f>
        <v>0</v>
      </c>
      <c r="Q42" s="61"/>
      <c r="R42" s="62"/>
      <c r="S42" s="62"/>
      <c r="T42" s="62"/>
      <c r="U42" s="62"/>
      <c r="V42" s="62"/>
      <c r="W42" s="159"/>
      <c r="X42" s="65" t="n">
        <f aca="false">SUM(P42:W42)</f>
        <v>0</v>
      </c>
      <c r="Y42" s="66"/>
      <c r="Z42" s="67" t="n">
        <v>341</v>
      </c>
      <c r="AA42" s="68" t="n">
        <f aca="false">X42+Y42+Z42</f>
        <v>341</v>
      </c>
      <c r="AB42" s="69"/>
      <c r="AC42" s="70"/>
      <c r="AD42" s="173"/>
      <c r="AE42" s="71" t="n">
        <f aca="false">AC42+AD42+AB42</f>
        <v>0</v>
      </c>
      <c r="AF42" s="72" t="n">
        <f aca="false">AE42+AE43</f>
        <v>0</v>
      </c>
      <c r="AG42" s="71" t="n">
        <v>341</v>
      </c>
      <c r="AH42" s="170"/>
      <c r="AI42" s="161" t="n">
        <f aca="false">AD42</f>
        <v>0</v>
      </c>
      <c r="AJ42" s="75"/>
      <c r="AK42" s="75"/>
      <c r="AL42" s="75"/>
      <c r="AM42" s="76" t="n">
        <f aca="false">AC42</f>
        <v>0</v>
      </c>
      <c r="AN42" s="75"/>
      <c r="AO42" s="74" t="n">
        <f aca="false">AD43</f>
        <v>0</v>
      </c>
      <c r="AP42" s="75"/>
      <c r="AQ42" s="75"/>
      <c r="AR42" s="75"/>
      <c r="AS42" s="76" t="n">
        <f aca="false">AC43</f>
        <v>0</v>
      </c>
      <c r="AT42" s="76"/>
      <c r="AU42" s="48"/>
      <c r="AV42" s="21"/>
      <c r="AW42" s="21"/>
      <c r="AX42" s="21"/>
      <c r="AY42" s="21"/>
      <c r="AZ42" s="21"/>
      <c r="BA42" s="21"/>
      <c r="BB42" s="21"/>
    </row>
    <row collapsed="false" customFormat="false" customHeight="true" hidden="false" ht="15.75" outlineLevel="0" r="43">
      <c r="A43" s="49"/>
      <c r="B43" s="32"/>
      <c r="C43" s="50"/>
      <c r="D43" s="165"/>
      <c r="E43" s="166"/>
      <c r="F43" s="53" t="s">
        <v>64</v>
      </c>
      <c r="G43" s="54" t="s">
        <v>44</v>
      </c>
      <c r="H43" s="79" t="n">
        <v>46007</v>
      </c>
      <c r="I43" s="79" t="n">
        <v>46022</v>
      </c>
      <c r="J43" s="80"/>
      <c r="K43" s="81"/>
      <c r="L43" s="82"/>
      <c r="M43" s="171"/>
      <c r="N43" s="169" t="n">
        <v>30000</v>
      </c>
      <c r="O43" s="60" t="n">
        <v>176</v>
      </c>
      <c r="P43" s="59" t="n">
        <f aca="false">N43/O43*(J43+K43+L43+M43)</f>
        <v>0</v>
      </c>
      <c r="Q43" s="84"/>
      <c r="R43" s="85"/>
      <c r="S43" s="85"/>
      <c r="T43" s="85"/>
      <c r="U43" s="85"/>
      <c r="V43" s="85"/>
      <c r="W43" s="87"/>
      <c r="X43" s="65" t="n">
        <f aca="false">SUM(P43:W43)</f>
        <v>0</v>
      </c>
      <c r="Y43" s="88"/>
      <c r="Z43" s="89" t="n">
        <f aca="false">Z42</f>
        <v>341</v>
      </c>
      <c r="AA43" s="68" t="n">
        <f aca="false">X43+Y43+Z43</f>
        <v>341</v>
      </c>
      <c r="AB43" s="91"/>
      <c r="AC43" s="103"/>
      <c r="AD43" s="92"/>
      <c r="AE43" s="71" t="n">
        <f aca="false">AC43+AD43+AB43</f>
        <v>0</v>
      </c>
      <c r="AF43" s="72"/>
      <c r="AG43" s="71" t="n">
        <v>341</v>
      </c>
      <c r="AH43" s="163"/>
      <c r="AI43" s="161"/>
      <c r="AJ43" s="75"/>
      <c r="AK43" s="75"/>
      <c r="AL43" s="75"/>
      <c r="AM43" s="76"/>
      <c r="AN43" s="75"/>
      <c r="AO43" s="74"/>
      <c r="AP43" s="75"/>
      <c r="AQ43" s="75"/>
      <c r="AR43" s="75"/>
      <c r="AS43" s="76"/>
      <c r="AT43" s="76"/>
      <c r="AU43" s="48"/>
      <c r="AV43" s="21"/>
      <c r="AW43" s="21"/>
      <c r="AX43" s="21"/>
      <c r="AY43" s="21"/>
      <c r="AZ43" s="21"/>
      <c r="BA43" s="21"/>
      <c r="BB43" s="21"/>
    </row>
    <row collapsed="false" customFormat="false" customHeight="true" hidden="false" ht="15.75" outlineLevel="0" r="44">
      <c r="A44" s="174" t="s">
        <v>82</v>
      </c>
      <c r="B44" s="131" t="n">
        <v>45937</v>
      </c>
      <c r="C44" s="50" t="n">
        <v>6</v>
      </c>
      <c r="D44" s="165" t="s">
        <v>83</v>
      </c>
      <c r="E44" s="166" t="s">
        <v>76</v>
      </c>
      <c r="F44" s="53" t="s">
        <v>64</v>
      </c>
      <c r="G44" s="54" t="s">
        <v>44</v>
      </c>
      <c r="H44" s="55" t="n">
        <v>45992</v>
      </c>
      <c r="I44" s="55" t="n">
        <v>46006</v>
      </c>
      <c r="J44" s="56" t="n">
        <v>88</v>
      </c>
      <c r="K44" s="57"/>
      <c r="L44" s="172"/>
      <c r="M44" s="168"/>
      <c r="N44" s="169" t="n">
        <v>80000</v>
      </c>
      <c r="O44" s="60" t="n">
        <v>176</v>
      </c>
      <c r="P44" s="59" t="n">
        <f aca="false">N44/O44*(J44+K44+L44+M44)</f>
        <v>40000</v>
      </c>
      <c r="Q44" s="61"/>
      <c r="R44" s="62"/>
      <c r="S44" s="62"/>
      <c r="T44" s="62"/>
      <c r="U44" s="62"/>
      <c r="V44" s="62"/>
      <c r="W44" s="159"/>
      <c r="X44" s="65" t="n">
        <f aca="false">SUM(P44:W44)</f>
        <v>40000</v>
      </c>
      <c r="Y44" s="66"/>
      <c r="Z44" s="67" t="n">
        <v>253</v>
      </c>
      <c r="AA44" s="68" t="n">
        <f aca="false">X44+Y44+Z44</f>
        <v>40253</v>
      </c>
      <c r="AB44" s="69"/>
      <c r="AC44" s="70" t="n">
        <v>21750</v>
      </c>
      <c r="AD44" s="173" t="n">
        <v>18500</v>
      </c>
      <c r="AE44" s="71" t="n">
        <f aca="false">AC44+AD44+AB44</f>
        <v>40250</v>
      </c>
      <c r="AF44" s="72" t="n">
        <f aca="false">AE44+AE45</f>
        <v>80500</v>
      </c>
      <c r="AG44" s="71" t="n">
        <v>3</v>
      </c>
      <c r="AH44" s="170"/>
      <c r="AI44" s="161" t="n">
        <f aca="false">AD44</f>
        <v>18500</v>
      </c>
      <c r="AJ44" s="75"/>
      <c r="AK44" s="75"/>
      <c r="AL44" s="75"/>
      <c r="AM44" s="76" t="n">
        <f aca="false">AC44</f>
        <v>21750</v>
      </c>
      <c r="AN44" s="75"/>
      <c r="AO44" s="74" t="n">
        <f aca="false">AD45</f>
        <v>18500</v>
      </c>
      <c r="AP44" s="75"/>
      <c r="AQ44" s="75"/>
      <c r="AR44" s="75"/>
      <c r="AS44" s="76" t="n">
        <f aca="false">AC45</f>
        <v>21750</v>
      </c>
      <c r="AT44" s="76"/>
      <c r="AU44" s="48"/>
      <c r="AV44" s="21"/>
      <c r="AW44" s="21"/>
      <c r="AX44" s="21"/>
      <c r="AY44" s="21"/>
      <c r="AZ44" s="21"/>
      <c r="BA44" s="21"/>
      <c r="BB44" s="21"/>
    </row>
    <row collapsed="false" customFormat="false" customHeight="true" hidden="false" ht="15.75" outlineLevel="0" r="45">
      <c r="A45" s="49"/>
      <c r="B45" s="32"/>
      <c r="C45" s="50"/>
      <c r="D45" s="165"/>
      <c r="E45" s="166"/>
      <c r="F45" s="53" t="s">
        <v>64</v>
      </c>
      <c r="G45" s="54" t="s">
        <v>44</v>
      </c>
      <c r="H45" s="79" t="n">
        <v>46007</v>
      </c>
      <c r="I45" s="79" t="n">
        <v>46022</v>
      </c>
      <c r="J45" s="80" t="n">
        <v>88</v>
      </c>
      <c r="K45" s="81"/>
      <c r="L45" s="82"/>
      <c r="M45" s="171"/>
      <c r="N45" s="169" t="n">
        <v>80000</v>
      </c>
      <c r="O45" s="60" t="n">
        <v>176</v>
      </c>
      <c r="P45" s="59" t="n">
        <f aca="false">N45/O45*(J45+K45+L45+M45)</f>
        <v>40000</v>
      </c>
      <c r="Q45" s="84"/>
      <c r="R45" s="85"/>
      <c r="S45" s="85"/>
      <c r="T45" s="85"/>
      <c r="U45" s="85"/>
      <c r="V45" s="85"/>
      <c r="W45" s="87"/>
      <c r="X45" s="65" t="n">
        <f aca="false">SUM(P45:W45)</f>
        <v>40000</v>
      </c>
      <c r="Y45" s="88"/>
      <c r="Z45" s="89" t="n">
        <f aca="false">Z44</f>
        <v>253</v>
      </c>
      <c r="AA45" s="68" t="n">
        <f aca="false">X45+Y45+Z45</f>
        <v>40253</v>
      </c>
      <c r="AB45" s="91"/>
      <c r="AC45" s="103" t="n">
        <v>21750</v>
      </c>
      <c r="AD45" s="92" t="n">
        <v>18500</v>
      </c>
      <c r="AE45" s="71" t="n">
        <f aca="false">AC45+AD45+AB45</f>
        <v>40250</v>
      </c>
      <c r="AF45" s="72"/>
      <c r="AG45" s="104" t="n">
        <v>3</v>
      </c>
      <c r="AH45" s="163"/>
      <c r="AI45" s="161"/>
      <c r="AJ45" s="75"/>
      <c r="AK45" s="75"/>
      <c r="AL45" s="75"/>
      <c r="AM45" s="76"/>
      <c r="AN45" s="75"/>
      <c r="AO45" s="74"/>
      <c r="AP45" s="75"/>
      <c r="AQ45" s="75"/>
      <c r="AR45" s="75"/>
      <c r="AS45" s="76"/>
      <c r="AT45" s="76"/>
      <c r="AU45" s="48"/>
      <c r="AV45" s="21"/>
      <c r="AW45" s="21"/>
      <c r="AX45" s="21"/>
      <c r="AY45" s="21"/>
      <c r="AZ45" s="21"/>
      <c r="BA45" s="21"/>
      <c r="BB45" s="21"/>
    </row>
    <row collapsed="false" customFormat="false" customHeight="true" hidden="false" ht="15.75" outlineLevel="0" r="46">
      <c r="A46" s="174" t="s">
        <v>82</v>
      </c>
      <c r="B46" s="131" t="n">
        <v>45937</v>
      </c>
      <c r="C46" s="50" t="n">
        <v>7</v>
      </c>
      <c r="D46" s="165" t="s">
        <v>84</v>
      </c>
      <c r="E46" s="166" t="s">
        <v>76</v>
      </c>
      <c r="F46" s="53" t="s">
        <v>64</v>
      </c>
      <c r="G46" s="54" t="s">
        <v>44</v>
      </c>
      <c r="H46" s="55" t="n">
        <v>45992</v>
      </c>
      <c r="I46" s="55" t="n">
        <v>46006</v>
      </c>
      <c r="J46" s="56" t="n">
        <v>80</v>
      </c>
      <c r="K46" s="57"/>
      <c r="L46" s="172"/>
      <c r="M46" s="168"/>
      <c r="N46" s="169" t="n">
        <v>80000</v>
      </c>
      <c r="O46" s="60" t="n">
        <v>176</v>
      </c>
      <c r="P46" s="59" t="n">
        <f aca="false">N46/O46*(J46+K46+L46+M46)</f>
        <v>36363.6363636364</v>
      </c>
      <c r="Q46" s="61"/>
      <c r="R46" s="62"/>
      <c r="S46" s="62"/>
      <c r="T46" s="62"/>
      <c r="U46" s="62"/>
      <c r="V46" s="62"/>
      <c r="W46" s="159"/>
      <c r="X46" s="65" t="n">
        <f aca="false">SUM(P46:W46)</f>
        <v>36363.6363636364</v>
      </c>
      <c r="Y46" s="66"/>
      <c r="Z46" s="67" t="n">
        <v>253</v>
      </c>
      <c r="AA46" s="68" t="n">
        <f aca="false">X46+Y46+Z46</f>
        <v>36616.6363636364</v>
      </c>
      <c r="AB46" s="69"/>
      <c r="AC46" s="70" t="n">
        <v>19773.27</v>
      </c>
      <c r="AD46" s="173" t="n">
        <v>17000</v>
      </c>
      <c r="AE46" s="71" t="n">
        <f aca="false">AC46+AD46+AB46</f>
        <v>36773.27</v>
      </c>
      <c r="AF46" s="72" t="n">
        <f aca="false">AE46+AE47</f>
        <v>77023.27</v>
      </c>
      <c r="AG46" s="71" t="n">
        <v>-156.633636363636</v>
      </c>
      <c r="AH46" s="170"/>
      <c r="AI46" s="161" t="n">
        <f aca="false">AD46</f>
        <v>17000</v>
      </c>
      <c r="AJ46" s="75"/>
      <c r="AK46" s="75"/>
      <c r="AL46" s="75"/>
      <c r="AM46" s="76" t="n">
        <f aca="false">AC46</f>
        <v>19773.27</v>
      </c>
      <c r="AN46" s="75"/>
      <c r="AO46" s="74" t="n">
        <f aca="false">AD47</f>
        <v>18500</v>
      </c>
      <c r="AP46" s="75"/>
      <c r="AQ46" s="75"/>
      <c r="AR46" s="75"/>
      <c r="AS46" s="76" t="n">
        <f aca="false">AC47</f>
        <v>21750</v>
      </c>
      <c r="AT46" s="76"/>
      <c r="AU46" s="48"/>
      <c r="AV46" s="21"/>
      <c r="AW46" s="21"/>
      <c r="AX46" s="21"/>
      <c r="AY46" s="21"/>
      <c r="AZ46" s="21"/>
      <c r="BA46" s="21"/>
      <c r="BB46" s="21"/>
    </row>
    <row collapsed="false" customFormat="false" customHeight="true" hidden="false" ht="15.75" outlineLevel="0" r="47">
      <c r="A47" s="49"/>
      <c r="B47" s="32"/>
      <c r="C47" s="50"/>
      <c r="D47" s="165"/>
      <c r="E47" s="166"/>
      <c r="F47" s="53" t="s">
        <v>64</v>
      </c>
      <c r="G47" s="54" t="s">
        <v>44</v>
      </c>
      <c r="H47" s="79" t="n">
        <v>46007</v>
      </c>
      <c r="I47" s="79" t="n">
        <v>46022</v>
      </c>
      <c r="J47" s="80" t="n">
        <f aca="false">168-80</f>
        <v>88</v>
      </c>
      <c r="K47" s="81"/>
      <c r="L47" s="82"/>
      <c r="M47" s="171"/>
      <c r="N47" s="169" t="n">
        <v>80000</v>
      </c>
      <c r="O47" s="60" t="n">
        <v>176</v>
      </c>
      <c r="P47" s="59" t="n">
        <f aca="false">N47/O47*(J47+K47+L47+M47)</f>
        <v>40000</v>
      </c>
      <c r="Q47" s="84"/>
      <c r="R47" s="85"/>
      <c r="S47" s="85"/>
      <c r="T47" s="85"/>
      <c r="U47" s="85"/>
      <c r="V47" s="85"/>
      <c r="W47" s="87"/>
      <c r="X47" s="65" t="n">
        <f aca="false">SUM(P47:W47)</f>
        <v>40000</v>
      </c>
      <c r="Y47" s="88"/>
      <c r="Z47" s="89" t="n">
        <f aca="false">Z46</f>
        <v>253</v>
      </c>
      <c r="AA47" s="68" t="n">
        <f aca="false">X47+Y47+Z47</f>
        <v>40253</v>
      </c>
      <c r="AB47" s="91"/>
      <c r="AC47" s="103" t="n">
        <v>21750</v>
      </c>
      <c r="AD47" s="92" t="n">
        <v>18500</v>
      </c>
      <c r="AE47" s="71" t="n">
        <f aca="false">AC47+AD47+AB47</f>
        <v>40250</v>
      </c>
      <c r="AF47" s="72"/>
      <c r="AG47" s="104" t="n">
        <v>3</v>
      </c>
      <c r="AH47" s="163"/>
      <c r="AI47" s="161"/>
      <c r="AJ47" s="75"/>
      <c r="AK47" s="75"/>
      <c r="AL47" s="75"/>
      <c r="AM47" s="76"/>
      <c r="AN47" s="75"/>
      <c r="AO47" s="74"/>
      <c r="AP47" s="75"/>
      <c r="AQ47" s="75"/>
      <c r="AR47" s="75"/>
      <c r="AS47" s="76"/>
      <c r="AT47" s="76"/>
      <c r="AU47" s="48"/>
      <c r="AV47" s="21"/>
      <c r="AW47" s="21"/>
      <c r="AX47" s="21"/>
      <c r="AY47" s="21"/>
      <c r="AZ47" s="21"/>
      <c r="BA47" s="21"/>
      <c r="BB47" s="21"/>
    </row>
    <row collapsed="false" customFormat="false" customHeight="true" hidden="false" ht="15.75" outlineLevel="0" r="48">
      <c r="A48" s="49" t="n">
        <v>45362</v>
      </c>
      <c r="B48" s="32"/>
      <c r="C48" s="50" t="n">
        <v>8</v>
      </c>
      <c r="D48" s="165" t="s">
        <v>85</v>
      </c>
      <c r="E48" s="166" t="s">
        <v>76</v>
      </c>
      <c r="F48" s="53" t="s">
        <v>64</v>
      </c>
      <c r="G48" s="54" t="s">
        <v>44</v>
      </c>
      <c r="H48" s="55" t="n">
        <v>45992</v>
      </c>
      <c r="I48" s="55" t="n">
        <v>46006</v>
      </c>
      <c r="J48" s="56" t="n">
        <v>88</v>
      </c>
      <c r="K48" s="57"/>
      <c r="L48" s="159"/>
      <c r="M48" s="168"/>
      <c r="N48" s="169" t="n">
        <v>100000</v>
      </c>
      <c r="O48" s="60" t="n">
        <v>176</v>
      </c>
      <c r="P48" s="59" t="n">
        <f aca="false">N48/O48*(J48+K48+L48+M48)</f>
        <v>50000</v>
      </c>
      <c r="Q48" s="67" t="n">
        <v>42835</v>
      </c>
      <c r="R48" s="62"/>
      <c r="S48" s="62"/>
      <c r="T48" s="62"/>
      <c r="U48" s="62"/>
      <c r="V48" s="62"/>
      <c r="W48" s="64"/>
      <c r="X48" s="65" t="n">
        <f aca="false">SUM(P48:W48)</f>
        <v>92835</v>
      </c>
      <c r="Y48" s="66"/>
      <c r="Z48" s="67" t="n">
        <v>-116</v>
      </c>
      <c r="AA48" s="68" t="n">
        <f aca="false">X48+Y48+Z48</f>
        <v>92719</v>
      </c>
      <c r="AB48" s="69"/>
      <c r="AC48" s="121"/>
      <c r="AD48" s="71" t="n">
        <v>92500</v>
      </c>
      <c r="AE48" s="71" t="n">
        <f aca="false">AC48+AD48+AB48</f>
        <v>92500</v>
      </c>
      <c r="AF48" s="72" t="n">
        <f aca="false">AE48+AE49</f>
        <v>142500</v>
      </c>
      <c r="AG48" s="71" t="n">
        <v>219</v>
      </c>
      <c r="AH48" s="170"/>
      <c r="AI48" s="161" t="n">
        <f aca="false">AD48</f>
        <v>92500</v>
      </c>
      <c r="AJ48" s="75"/>
      <c r="AK48" s="75"/>
      <c r="AL48" s="75"/>
      <c r="AM48" s="75" t="n">
        <f aca="false">AC48</f>
        <v>0</v>
      </c>
      <c r="AN48" s="75"/>
      <c r="AO48" s="74" t="n">
        <f aca="false">AD49</f>
        <v>50000</v>
      </c>
      <c r="AP48" s="75"/>
      <c r="AQ48" s="75"/>
      <c r="AR48" s="75"/>
      <c r="AS48" s="76" t="n">
        <f aca="false">AC49</f>
        <v>0</v>
      </c>
      <c r="AT48" s="75"/>
      <c r="AU48" s="48"/>
      <c r="AV48" s="21"/>
      <c r="AW48" s="21"/>
      <c r="AX48" s="21"/>
      <c r="AY48" s="21"/>
      <c r="AZ48" s="21"/>
      <c r="BA48" s="21"/>
      <c r="BB48" s="21"/>
    </row>
    <row collapsed="false" customFormat="false" customHeight="true" hidden="false" ht="15.75" outlineLevel="0" r="49">
      <c r="A49" s="32"/>
      <c r="B49" s="32"/>
      <c r="C49" s="50"/>
      <c r="D49" s="165"/>
      <c r="E49" s="166"/>
      <c r="F49" s="78"/>
      <c r="G49" s="54" t="s">
        <v>44</v>
      </c>
      <c r="H49" s="79" t="n">
        <v>46007</v>
      </c>
      <c r="I49" s="79" t="n">
        <v>46022</v>
      </c>
      <c r="J49" s="80" t="n">
        <v>88</v>
      </c>
      <c r="K49" s="81"/>
      <c r="L49" s="82"/>
      <c r="M49" s="171"/>
      <c r="N49" s="162" t="n">
        <v>100000</v>
      </c>
      <c r="O49" s="60" t="n">
        <v>176</v>
      </c>
      <c r="P49" s="59" t="n">
        <f aca="false">N49/O49*(J49+K49+L49+M49)</f>
        <v>50000</v>
      </c>
      <c r="Q49" s="84"/>
      <c r="R49" s="85"/>
      <c r="S49" s="85"/>
      <c r="T49" s="85"/>
      <c r="U49" s="85"/>
      <c r="V49" s="85"/>
      <c r="W49" s="87"/>
      <c r="X49" s="88" t="n">
        <f aca="false">SUM(P49:W49)</f>
        <v>50000</v>
      </c>
      <c r="Y49" s="88"/>
      <c r="Z49" s="89" t="n">
        <f aca="false">AG48</f>
        <v>219</v>
      </c>
      <c r="AA49" s="90" t="n">
        <f aca="false">X49+Y49+Z49</f>
        <v>50219</v>
      </c>
      <c r="AB49" s="91"/>
      <c r="AC49" s="111"/>
      <c r="AD49" s="92" t="n">
        <v>50000</v>
      </c>
      <c r="AE49" s="92" t="n">
        <f aca="false">AC49+AD49+AB49</f>
        <v>50000</v>
      </c>
      <c r="AF49" s="92"/>
      <c r="AG49" s="104" t="n">
        <v>218.999999999993</v>
      </c>
      <c r="AH49" s="163"/>
      <c r="AI49" s="161"/>
      <c r="AJ49" s="75"/>
      <c r="AK49" s="75"/>
      <c r="AL49" s="75"/>
      <c r="AM49" s="75"/>
      <c r="AN49" s="75"/>
      <c r="AO49" s="74"/>
      <c r="AP49" s="75"/>
      <c r="AQ49" s="75"/>
      <c r="AR49" s="75"/>
      <c r="AS49" s="76"/>
      <c r="AT49" s="75"/>
      <c r="AU49" s="31"/>
      <c r="AV49" s="21"/>
      <c r="AW49" s="21"/>
      <c r="AX49" s="21"/>
      <c r="AY49" s="21"/>
      <c r="AZ49" s="21"/>
      <c r="BA49" s="21"/>
      <c r="BB49" s="21"/>
    </row>
    <row collapsed="false" customFormat="false" customHeight="true" hidden="false" ht="15.75" outlineLevel="0" r="50">
      <c r="A50" s="32" t="s">
        <v>86</v>
      </c>
      <c r="B50" s="32"/>
      <c r="C50" s="50" t="n">
        <v>9</v>
      </c>
      <c r="D50" s="175" t="s">
        <v>87</v>
      </c>
      <c r="E50" s="176" t="s">
        <v>88</v>
      </c>
      <c r="F50" s="53" t="s">
        <v>64</v>
      </c>
      <c r="G50" s="54" t="s">
        <v>44</v>
      </c>
      <c r="H50" s="55" t="n">
        <v>45992</v>
      </c>
      <c r="I50" s="55" t="n">
        <v>46006</v>
      </c>
      <c r="J50" s="56" t="n">
        <v>80</v>
      </c>
      <c r="K50" s="57"/>
      <c r="L50" s="159"/>
      <c r="M50" s="58"/>
      <c r="N50" s="59" t="n">
        <v>110000</v>
      </c>
      <c r="O50" s="60" t="n">
        <v>176</v>
      </c>
      <c r="P50" s="59" t="n">
        <f aca="false">N50/O50*(J50+K50+L50+M50)</f>
        <v>50000</v>
      </c>
      <c r="Q50" s="67" t="n">
        <v>8421</v>
      </c>
      <c r="R50" s="62"/>
      <c r="S50" s="62" t="n">
        <v>56738.1</v>
      </c>
      <c r="T50" s="62"/>
      <c r="U50" s="62"/>
      <c r="V50" s="62"/>
      <c r="W50" s="64"/>
      <c r="X50" s="65" t="n">
        <f aca="false">SUM(P50:W50)</f>
        <v>115159.1</v>
      </c>
      <c r="Y50" s="66"/>
      <c r="Z50" s="67" t="n">
        <v>-29</v>
      </c>
      <c r="AA50" s="68" t="n">
        <f aca="false">X50+Y50+Z50</f>
        <v>115130.1</v>
      </c>
      <c r="AB50" s="69" t="n">
        <v>56488</v>
      </c>
      <c r="AC50" s="70" t="n">
        <v>19773.27</v>
      </c>
      <c r="AD50" s="71" t="n">
        <v>39000</v>
      </c>
      <c r="AE50" s="92" t="n">
        <f aca="false">AC50+AD50+AB50</f>
        <v>115261.27</v>
      </c>
      <c r="AF50" s="72" t="n">
        <f aca="false">AE50+AE51</f>
        <v>120238</v>
      </c>
      <c r="AG50" s="71" t="n">
        <v>-131.169999999998</v>
      </c>
      <c r="AH50" s="177"/>
      <c r="AI50" s="161" t="n">
        <f aca="false">AD50</f>
        <v>39000</v>
      </c>
      <c r="AJ50" s="75"/>
      <c r="AK50" s="75"/>
      <c r="AL50" s="75"/>
      <c r="AM50" s="76" t="n">
        <f aca="false">AC50</f>
        <v>19773.27</v>
      </c>
      <c r="AN50" s="76"/>
      <c r="AO50" s="74" t="n">
        <f aca="false">AD51</f>
        <v>3000</v>
      </c>
      <c r="AP50" s="75"/>
      <c r="AQ50" s="75"/>
      <c r="AR50" s="75"/>
      <c r="AS50" s="76" t="n">
        <f aca="false">AC51</f>
        <v>1976.73</v>
      </c>
      <c r="AT50" s="76"/>
      <c r="AU50" s="48"/>
      <c r="AV50" s="21"/>
      <c r="AW50" s="21"/>
      <c r="AX50" s="21"/>
      <c r="AY50" s="21"/>
      <c r="AZ50" s="21"/>
      <c r="BA50" s="21"/>
      <c r="BB50" s="21"/>
    </row>
    <row collapsed="false" customFormat="false" customHeight="true" hidden="false" ht="15.75" outlineLevel="0" r="51">
      <c r="A51" s="32"/>
      <c r="B51" s="164" t="n">
        <v>45533</v>
      </c>
      <c r="C51" s="50"/>
      <c r="D51" s="175"/>
      <c r="E51" s="176"/>
      <c r="F51" s="78"/>
      <c r="G51" s="54" t="s">
        <v>44</v>
      </c>
      <c r="H51" s="79" t="n">
        <v>46007</v>
      </c>
      <c r="I51" s="79" t="n">
        <v>46022</v>
      </c>
      <c r="J51" s="80" t="n">
        <v>8</v>
      </c>
      <c r="K51" s="81"/>
      <c r="L51" s="82"/>
      <c r="M51" s="108"/>
      <c r="N51" s="83" t="n">
        <v>110000</v>
      </c>
      <c r="O51" s="60" t="n">
        <v>176</v>
      </c>
      <c r="P51" s="59" t="n">
        <f aca="false">N51/O51*(J51+K51+L51+M51)</f>
        <v>5000</v>
      </c>
      <c r="Q51" s="84"/>
      <c r="R51" s="85"/>
      <c r="S51" s="85"/>
      <c r="T51" s="85"/>
      <c r="U51" s="85"/>
      <c r="V51" s="85"/>
      <c r="W51" s="87"/>
      <c r="X51" s="88" t="n">
        <f aca="false">SUM(P51:W51)</f>
        <v>5000</v>
      </c>
      <c r="Y51" s="88"/>
      <c r="Z51" s="89" t="n">
        <f aca="false">AG50</f>
        <v>-131.169999999998</v>
      </c>
      <c r="AA51" s="90" t="n">
        <f aca="false">X51+Y51+Z51</f>
        <v>4868.83</v>
      </c>
      <c r="AB51" s="91"/>
      <c r="AC51" s="103" t="n">
        <v>1976.73</v>
      </c>
      <c r="AD51" s="92" t="n">
        <v>3000</v>
      </c>
      <c r="AE51" s="92" t="n">
        <f aca="false">AC51+AD51+AB51</f>
        <v>4976.73</v>
      </c>
      <c r="AF51" s="92"/>
      <c r="AG51" s="178" t="n">
        <v>-107.899999999998</v>
      </c>
      <c r="AH51" s="177"/>
      <c r="AI51" s="161"/>
      <c r="AJ51" s="75"/>
      <c r="AK51" s="75"/>
      <c r="AL51" s="75"/>
      <c r="AM51" s="76"/>
      <c r="AN51" s="76"/>
      <c r="AO51" s="74"/>
      <c r="AP51" s="75"/>
      <c r="AQ51" s="75"/>
      <c r="AR51" s="75"/>
      <c r="AS51" s="76"/>
      <c r="AT51" s="76"/>
      <c r="AU51" s="48"/>
      <c r="AV51" s="21"/>
      <c r="AW51" s="21"/>
      <c r="AX51" s="21"/>
      <c r="AY51" s="21"/>
      <c r="AZ51" s="21"/>
      <c r="BA51" s="21"/>
      <c r="BB51" s="21"/>
    </row>
    <row collapsed="false" customFormat="false" customHeight="true" hidden="false" ht="15.75" outlineLevel="0" r="52">
      <c r="A52" s="32"/>
      <c r="B52" s="164" t="n">
        <v>45783</v>
      </c>
      <c r="C52" s="50" t="n">
        <v>10</v>
      </c>
      <c r="D52" s="175" t="s">
        <v>89</v>
      </c>
      <c r="E52" s="176" t="s">
        <v>88</v>
      </c>
      <c r="F52" s="53" t="s">
        <v>64</v>
      </c>
      <c r="G52" s="54" t="s">
        <v>44</v>
      </c>
      <c r="H52" s="55" t="n">
        <v>45992</v>
      </c>
      <c r="I52" s="55" t="n">
        <v>46006</v>
      </c>
      <c r="J52" s="56" t="n">
        <v>88</v>
      </c>
      <c r="K52" s="57"/>
      <c r="L52" s="159"/>
      <c r="M52" s="58"/>
      <c r="N52" s="169" t="n">
        <v>75000</v>
      </c>
      <c r="O52" s="60" t="n">
        <v>176</v>
      </c>
      <c r="P52" s="59" t="n">
        <f aca="false">N52/O52*(J52+K52+L52+M52)</f>
        <v>37500</v>
      </c>
      <c r="Q52" s="67" t="n">
        <v>20000</v>
      </c>
      <c r="R52" s="62"/>
      <c r="S52" s="62"/>
      <c r="T52" s="62"/>
      <c r="U52" s="62"/>
      <c r="V52" s="62"/>
      <c r="W52" s="64" t="n">
        <v>5000</v>
      </c>
      <c r="X52" s="65" t="n">
        <f aca="false">SUM(P52:W52)</f>
        <v>62500</v>
      </c>
      <c r="Y52" s="66"/>
      <c r="Z52" s="67" t="n">
        <v>-212</v>
      </c>
      <c r="AA52" s="68" t="n">
        <f aca="false">X52+Y52+Z52</f>
        <v>62288</v>
      </c>
      <c r="AB52" s="69"/>
      <c r="AC52" s="70" t="n">
        <v>21750</v>
      </c>
      <c r="AD52" s="71" t="n">
        <v>40500</v>
      </c>
      <c r="AE52" s="92" t="n">
        <f aca="false">AC52+AD52+AB52</f>
        <v>62250</v>
      </c>
      <c r="AF52" s="72" t="n">
        <f aca="false">AE52+AE53</f>
        <v>105000</v>
      </c>
      <c r="AG52" s="71" t="n">
        <v>38</v>
      </c>
      <c r="AH52" s="177"/>
      <c r="AI52" s="161" t="n">
        <f aca="false">AD52</f>
        <v>40500</v>
      </c>
      <c r="AJ52" s="75"/>
      <c r="AK52" s="75"/>
      <c r="AL52" s="75"/>
      <c r="AM52" s="76" t="n">
        <f aca="false">AC52</f>
        <v>21750</v>
      </c>
      <c r="AN52" s="76"/>
      <c r="AO52" s="74" t="n">
        <f aca="false">AD53</f>
        <v>21000</v>
      </c>
      <c r="AP52" s="75"/>
      <c r="AQ52" s="75"/>
      <c r="AR52" s="75"/>
      <c r="AS52" s="76" t="n">
        <f aca="false">AC53</f>
        <v>21750</v>
      </c>
      <c r="AT52" s="76"/>
      <c r="AU52" s="48"/>
      <c r="AV52" s="21"/>
      <c r="AW52" s="21"/>
      <c r="AX52" s="21"/>
      <c r="AY52" s="21"/>
      <c r="AZ52" s="21"/>
      <c r="BA52" s="21"/>
      <c r="BB52" s="21"/>
    </row>
    <row collapsed="false" customFormat="false" customHeight="true" hidden="false" ht="15.75" outlineLevel="0" r="53">
      <c r="A53" s="32" t="s">
        <v>90</v>
      </c>
      <c r="B53" s="32"/>
      <c r="C53" s="50"/>
      <c r="D53" s="175"/>
      <c r="E53" s="176"/>
      <c r="F53" s="78"/>
      <c r="G53" s="54" t="s">
        <v>44</v>
      </c>
      <c r="H53" s="79" t="n">
        <v>46007</v>
      </c>
      <c r="I53" s="79" t="n">
        <v>46022</v>
      </c>
      <c r="J53" s="80" t="n">
        <v>88</v>
      </c>
      <c r="K53" s="81"/>
      <c r="L53" s="82"/>
      <c r="M53" s="108"/>
      <c r="N53" s="169" t="n">
        <v>75000</v>
      </c>
      <c r="O53" s="60" t="n">
        <v>176</v>
      </c>
      <c r="P53" s="59" t="n">
        <f aca="false">N53/O53*(J53+K53+L53+M53)</f>
        <v>37500</v>
      </c>
      <c r="Q53" s="84"/>
      <c r="R53" s="85"/>
      <c r="S53" s="85"/>
      <c r="T53" s="85"/>
      <c r="U53" s="85"/>
      <c r="V53" s="85"/>
      <c r="W53" s="64" t="n">
        <v>5000</v>
      </c>
      <c r="X53" s="88" t="n">
        <f aca="false">SUM(P53:W53)</f>
        <v>42500</v>
      </c>
      <c r="Y53" s="88"/>
      <c r="Z53" s="89" t="n">
        <f aca="false">AG52</f>
        <v>38</v>
      </c>
      <c r="AA53" s="90" t="n">
        <f aca="false">X53+Y53+Z53</f>
        <v>42538</v>
      </c>
      <c r="AB53" s="91"/>
      <c r="AC53" s="103" t="n">
        <v>21750</v>
      </c>
      <c r="AD53" s="179" t="n">
        <v>21000</v>
      </c>
      <c r="AE53" s="92" t="n">
        <f aca="false">AC53+AD53+AB53</f>
        <v>42750</v>
      </c>
      <c r="AF53" s="92"/>
      <c r="AG53" s="178" t="n">
        <v>-212</v>
      </c>
      <c r="AH53" s="177"/>
      <c r="AI53" s="161"/>
      <c r="AJ53" s="75"/>
      <c r="AK53" s="75"/>
      <c r="AL53" s="75"/>
      <c r="AM53" s="76"/>
      <c r="AN53" s="76"/>
      <c r="AO53" s="74"/>
      <c r="AP53" s="75"/>
      <c r="AQ53" s="75"/>
      <c r="AR53" s="75"/>
      <c r="AS53" s="76"/>
      <c r="AT53" s="76"/>
      <c r="AU53" s="48"/>
      <c r="AV53" s="21"/>
      <c r="AW53" s="21"/>
      <c r="AX53" s="21"/>
      <c r="AY53" s="21"/>
      <c r="AZ53" s="21"/>
      <c r="BA53" s="21"/>
      <c r="BB53" s="21"/>
    </row>
    <row collapsed="false" customFormat="false" customHeight="true" hidden="false" ht="15.75" outlineLevel="0" r="54">
      <c r="A54" s="32"/>
      <c r="B54" s="32"/>
      <c r="C54" s="50" t="n">
        <v>11</v>
      </c>
      <c r="D54" s="51" t="s">
        <v>91</v>
      </c>
      <c r="E54" s="52" t="s">
        <v>92</v>
      </c>
      <c r="F54" s="53" t="s">
        <v>64</v>
      </c>
      <c r="G54" s="54" t="s">
        <v>44</v>
      </c>
      <c r="H54" s="55" t="n">
        <v>45992</v>
      </c>
      <c r="I54" s="55" t="n">
        <v>46006</v>
      </c>
      <c r="J54" s="56" t="n">
        <v>88</v>
      </c>
      <c r="K54" s="57"/>
      <c r="L54" s="159"/>
      <c r="M54" s="58"/>
      <c r="N54" s="169" t="n">
        <v>175000</v>
      </c>
      <c r="O54" s="60" t="n">
        <v>176</v>
      </c>
      <c r="P54" s="59" t="n">
        <f aca="false">N54/O54*(J54+K54+L54+M54)</f>
        <v>87500</v>
      </c>
      <c r="Q54" s="61"/>
      <c r="R54" s="62"/>
      <c r="S54" s="62"/>
      <c r="T54" s="62"/>
      <c r="U54" s="62"/>
      <c r="V54" s="62"/>
      <c r="W54" s="64"/>
      <c r="X54" s="65" t="n">
        <f aca="false">SUM(P54:W54)</f>
        <v>87500</v>
      </c>
      <c r="Y54" s="66"/>
      <c r="Z54" s="67" t="n">
        <v>144</v>
      </c>
      <c r="AA54" s="68" t="n">
        <f aca="false">X54+Y54+Z54</f>
        <v>87644</v>
      </c>
      <c r="AB54" s="69" t="n">
        <v>41080</v>
      </c>
      <c r="AC54" s="70" t="n">
        <v>21750</v>
      </c>
      <c r="AD54" s="71" t="n">
        <v>20000</v>
      </c>
      <c r="AE54" s="71" t="n">
        <f aca="false">AC54+AD54+AB54</f>
        <v>82830</v>
      </c>
      <c r="AF54" s="72" t="n">
        <f aca="false">AE54+AE55</f>
        <v>191660</v>
      </c>
      <c r="AG54" s="71" t="n">
        <v>-186</v>
      </c>
      <c r="AH54" s="170"/>
      <c r="AI54" s="161" t="n">
        <f aca="false">AD54</f>
        <v>20000</v>
      </c>
      <c r="AJ54" s="75"/>
      <c r="AK54" s="75"/>
      <c r="AL54" s="75"/>
      <c r="AM54" s="76" t="n">
        <f aca="false">AC54</f>
        <v>21750</v>
      </c>
      <c r="AN54" s="76"/>
      <c r="AO54" s="74" t="n">
        <f aca="false">AD55</f>
        <v>20000</v>
      </c>
      <c r="AP54" s="75"/>
      <c r="AQ54" s="75"/>
      <c r="AR54" s="75"/>
      <c r="AS54" s="76" t="n">
        <f aca="false">AC55</f>
        <v>21750</v>
      </c>
      <c r="AT54" s="76"/>
      <c r="AU54" s="48"/>
      <c r="AV54" s="21"/>
      <c r="AW54" s="21"/>
      <c r="AX54" s="21"/>
      <c r="AY54" s="21"/>
      <c r="AZ54" s="21"/>
      <c r="BA54" s="21"/>
      <c r="BB54" s="21"/>
    </row>
    <row collapsed="false" customFormat="false" customHeight="true" hidden="false" ht="15.75" outlineLevel="0" r="55">
      <c r="A55" s="32"/>
      <c r="B55" s="32"/>
      <c r="C55" s="50"/>
      <c r="D55" s="51"/>
      <c r="E55" s="52"/>
      <c r="F55" s="78"/>
      <c r="G55" s="54" t="s">
        <v>44</v>
      </c>
      <c r="H55" s="79" t="n">
        <v>46007</v>
      </c>
      <c r="I55" s="79" t="n">
        <v>46022</v>
      </c>
      <c r="J55" s="80" t="n">
        <f aca="false">176-J54</f>
        <v>88</v>
      </c>
      <c r="K55" s="81"/>
      <c r="L55" s="82"/>
      <c r="M55" s="108"/>
      <c r="N55" s="162" t="n">
        <v>175000</v>
      </c>
      <c r="O55" s="60" t="n">
        <v>176</v>
      </c>
      <c r="P55" s="59" t="n">
        <f aca="false">N55/O55*(J55+K55+L55+M55)</f>
        <v>87500</v>
      </c>
      <c r="Q55" s="84"/>
      <c r="R55" s="85"/>
      <c r="S55" s="85"/>
      <c r="T55" s="85"/>
      <c r="U55" s="85"/>
      <c r="V55" s="85"/>
      <c r="W55" s="87"/>
      <c r="X55" s="88" t="n">
        <f aca="false">SUM(P55:W55)</f>
        <v>87500</v>
      </c>
      <c r="Y55" s="88"/>
      <c r="Z55" s="89" t="n">
        <f aca="false">AG54</f>
        <v>-186</v>
      </c>
      <c r="AA55" s="90" t="n">
        <f aca="false">X55+Y55+Z55</f>
        <v>87314</v>
      </c>
      <c r="AB55" s="69" t="n">
        <v>67080</v>
      </c>
      <c r="AC55" s="180" t="n">
        <v>21750</v>
      </c>
      <c r="AD55" s="92" t="n">
        <v>20000</v>
      </c>
      <c r="AE55" s="92" t="n">
        <f aca="false">AC55+AD55+AB55</f>
        <v>108830</v>
      </c>
      <c r="AF55" s="92"/>
      <c r="AG55" s="178" t="n">
        <v>-16016</v>
      </c>
      <c r="AH55" s="163"/>
      <c r="AI55" s="161"/>
      <c r="AJ55" s="75"/>
      <c r="AK55" s="75"/>
      <c r="AL55" s="75"/>
      <c r="AM55" s="76"/>
      <c r="AN55" s="76"/>
      <c r="AO55" s="74"/>
      <c r="AP55" s="75"/>
      <c r="AQ55" s="75"/>
      <c r="AR55" s="75"/>
      <c r="AS55" s="76"/>
      <c r="AT55" s="76"/>
      <c r="AU55" s="31"/>
      <c r="AV55" s="21"/>
      <c r="AW55" s="21"/>
      <c r="AX55" s="21"/>
      <c r="AY55" s="21"/>
      <c r="AZ55" s="21"/>
      <c r="BA55" s="21"/>
      <c r="BB55" s="21"/>
    </row>
    <row collapsed="false" customFormat="false" customHeight="true" hidden="false" ht="15.75" outlineLevel="0" r="56">
      <c r="B56" s="164" t="n">
        <v>45594</v>
      </c>
      <c r="C56" s="50" t="n">
        <v>12</v>
      </c>
      <c r="D56" s="181" t="s">
        <v>93</v>
      </c>
      <c r="E56" s="182" t="s">
        <v>94</v>
      </c>
      <c r="F56" s="53" t="s">
        <v>64</v>
      </c>
      <c r="G56" s="54" t="s">
        <v>44</v>
      </c>
      <c r="H56" s="55" t="n">
        <v>45992</v>
      </c>
      <c r="I56" s="55" t="n">
        <v>46006</v>
      </c>
      <c r="J56" s="56" t="n">
        <v>80</v>
      </c>
      <c r="K56" s="57"/>
      <c r="L56" s="159"/>
      <c r="M56" s="58"/>
      <c r="N56" s="169" t="n">
        <f aca="false">140000</f>
        <v>140000</v>
      </c>
      <c r="O56" s="60" t="n">
        <v>176</v>
      </c>
      <c r="P56" s="59" t="n">
        <f aca="false">N56/O56*(J56+K56+L56+M56)</f>
        <v>63636.3636363636</v>
      </c>
      <c r="Q56" s="61" t="n">
        <v>10812</v>
      </c>
      <c r="R56" s="62"/>
      <c r="S56" s="62"/>
      <c r="T56" s="62"/>
      <c r="U56" s="62"/>
      <c r="V56" s="62"/>
      <c r="W56" s="64"/>
      <c r="X56" s="65" t="n">
        <f aca="false">SUM(P56:W56)</f>
        <v>74448.3636363637</v>
      </c>
      <c r="Y56" s="66"/>
      <c r="Z56" s="67" t="n">
        <v>127</v>
      </c>
      <c r="AA56" s="68" t="n">
        <f aca="false">X56+Y56+Z56</f>
        <v>74575.3636363637</v>
      </c>
      <c r="AB56" s="69" t="n">
        <v>74582</v>
      </c>
      <c r="AC56" s="70"/>
      <c r="AD56" s="71"/>
      <c r="AE56" s="71" t="n">
        <f aca="false">AC56+AD56+AB56</f>
        <v>74582</v>
      </c>
      <c r="AF56" s="72" t="n">
        <f aca="false">AE56+AE57</f>
        <v>74582</v>
      </c>
      <c r="AG56" s="71" t="n">
        <v>-6.63636363635305</v>
      </c>
      <c r="AH56" s="122"/>
      <c r="AI56" s="161" t="n">
        <f aca="false">AD56</f>
        <v>0</v>
      </c>
      <c r="AJ56" s="75"/>
      <c r="AK56" s="75"/>
      <c r="AL56" s="75"/>
      <c r="AM56" s="76" t="n">
        <f aca="false">AC56</f>
        <v>0</v>
      </c>
      <c r="AN56" s="76"/>
      <c r="AO56" s="74" t="n">
        <f aca="false">AD57</f>
        <v>0</v>
      </c>
      <c r="AP56" s="75"/>
      <c r="AQ56" s="75"/>
      <c r="AR56" s="75"/>
      <c r="AS56" s="76" t="n">
        <f aca="false">AC57</f>
        <v>0</v>
      </c>
      <c r="AT56" s="76"/>
      <c r="AU56" s="48"/>
      <c r="AV56" s="21"/>
      <c r="AW56" s="21"/>
      <c r="AX56" s="21"/>
      <c r="AY56" s="21"/>
      <c r="AZ56" s="21"/>
      <c r="BA56" s="21"/>
      <c r="BB56" s="21"/>
    </row>
    <row collapsed="false" customFormat="false" customHeight="true" hidden="false" ht="15.75" outlineLevel="0" r="57">
      <c r="A57" s="32" t="n">
        <v>140000</v>
      </c>
      <c r="B57" s="32"/>
      <c r="C57" s="50"/>
      <c r="D57" s="181"/>
      <c r="E57" s="182"/>
      <c r="F57" s="78"/>
      <c r="G57" s="54" t="s">
        <v>44</v>
      </c>
      <c r="H57" s="79" t="n">
        <v>46007</v>
      </c>
      <c r="I57" s="79" t="n">
        <v>46022</v>
      </c>
      <c r="J57" s="80"/>
      <c r="K57" s="81"/>
      <c r="L57" s="82"/>
      <c r="M57" s="108"/>
      <c r="N57" s="162" t="n">
        <f aca="false">N56</f>
        <v>140000</v>
      </c>
      <c r="O57" s="60" t="n">
        <v>176</v>
      </c>
      <c r="P57" s="59" t="n">
        <f aca="false">N57/O57*(J57+K57+L57+M57)</f>
        <v>0</v>
      </c>
      <c r="Q57" s="84"/>
      <c r="R57" s="85"/>
      <c r="S57" s="85"/>
      <c r="T57" s="85"/>
      <c r="U57" s="85"/>
      <c r="V57" s="85"/>
      <c r="W57" s="87"/>
      <c r="X57" s="88" t="n">
        <f aca="false">SUM(P57:W57)</f>
        <v>0</v>
      </c>
      <c r="Y57" s="88"/>
      <c r="Z57" s="89" t="n">
        <f aca="false">AG56</f>
        <v>-6.63636363635305</v>
      </c>
      <c r="AA57" s="90" t="n">
        <f aca="false">X57+Y57+Z57</f>
        <v>-6.63636363635305</v>
      </c>
      <c r="AB57" s="91"/>
      <c r="AC57" s="103"/>
      <c r="AD57" s="92"/>
      <c r="AE57" s="92" t="n">
        <f aca="false">AC57+AD57+AB57</f>
        <v>0</v>
      </c>
      <c r="AF57" s="92"/>
      <c r="AG57" s="92" t="n">
        <v>-6.63636363635305</v>
      </c>
      <c r="AH57" s="105"/>
      <c r="AI57" s="161"/>
      <c r="AJ57" s="75"/>
      <c r="AK57" s="75"/>
      <c r="AL57" s="75"/>
      <c r="AM57" s="76"/>
      <c r="AN57" s="76"/>
      <c r="AO57" s="74"/>
      <c r="AP57" s="75"/>
      <c r="AQ57" s="75"/>
      <c r="AR57" s="75"/>
      <c r="AS57" s="76"/>
      <c r="AT57" s="76"/>
      <c r="AU57" s="31"/>
      <c r="AV57" s="21"/>
      <c r="AW57" s="21"/>
      <c r="AX57" s="21"/>
      <c r="AY57" s="21"/>
      <c r="AZ57" s="21"/>
      <c r="BA57" s="21"/>
      <c r="BB57" s="21"/>
    </row>
    <row collapsed="false" customFormat="false" customHeight="true" hidden="false" ht="15.75" outlineLevel="0" r="58">
      <c r="A58" s="32" t="s">
        <v>95</v>
      </c>
      <c r="B58" s="164" t="n">
        <v>45733</v>
      </c>
      <c r="C58" s="50" t="n">
        <v>13</v>
      </c>
      <c r="D58" s="181" t="s">
        <v>96</v>
      </c>
      <c r="E58" s="182" t="s">
        <v>94</v>
      </c>
      <c r="F58" s="53" t="s">
        <v>64</v>
      </c>
      <c r="G58" s="54" t="s">
        <v>44</v>
      </c>
      <c r="H58" s="55" t="n">
        <v>45992</v>
      </c>
      <c r="I58" s="55" t="n">
        <v>46006</v>
      </c>
      <c r="J58" s="56" t="n">
        <v>88</v>
      </c>
      <c r="K58" s="57"/>
      <c r="L58" s="159"/>
      <c r="M58" s="58"/>
      <c r="N58" s="169" t="n">
        <v>95000</v>
      </c>
      <c r="O58" s="60" t="n">
        <v>176</v>
      </c>
      <c r="P58" s="59" t="n">
        <f aca="false">N58/O58*(J58+K58+L58+M58)</f>
        <v>47500</v>
      </c>
      <c r="Q58" s="61"/>
      <c r="R58" s="62"/>
      <c r="S58" s="62"/>
      <c r="T58" s="62"/>
      <c r="U58" s="62"/>
      <c r="V58" s="62"/>
      <c r="W58" s="64"/>
      <c r="X58" s="65" t="n">
        <f aca="false">SUM(P58:W58)</f>
        <v>47500</v>
      </c>
      <c r="Y58" s="66"/>
      <c r="Z58" s="67" t="n">
        <v>37</v>
      </c>
      <c r="AA58" s="68" t="n">
        <f aca="false">X58+Y58+Z58</f>
        <v>47537</v>
      </c>
      <c r="AB58" s="69"/>
      <c r="AC58" s="70" t="n">
        <v>13050</v>
      </c>
      <c r="AD58" s="71" t="n">
        <v>34500</v>
      </c>
      <c r="AE58" s="71" t="n">
        <f aca="false">AC58+AD58+AB58</f>
        <v>47550</v>
      </c>
      <c r="AF58" s="72" t="n">
        <f aca="false">AE58+AE59</f>
        <v>95100</v>
      </c>
      <c r="AG58" s="71" t="n">
        <v>-13</v>
      </c>
      <c r="AH58" s="122"/>
      <c r="AI58" s="161" t="n">
        <f aca="false">AD58</f>
        <v>34500</v>
      </c>
      <c r="AJ58" s="75"/>
      <c r="AK58" s="130" t="n">
        <f aca="false">AC58</f>
        <v>13050</v>
      </c>
      <c r="AL58" s="75"/>
      <c r="AM58" s="75"/>
      <c r="AN58" s="76"/>
      <c r="AO58" s="74" t="n">
        <f aca="false">AD59</f>
        <v>34500</v>
      </c>
      <c r="AP58" s="75"/>
      <c r="AQ58" s="130" t="n">
        <f aca="false">AC59</f>
        <v>13050</v>
      </c>
      <c r="AR58" s="75"/>
      <c r="AS58" s="75"/>
      <c r="AT58" s="75"/>
      <c r="AU58" s="48"/>
      <c r="AV58" s="21"/>
      <c r="AW58" s="21"/>
      <c r="AX58" s="21"/>
      <c r="AY58" s="21"/>
      <c r="AZ58" s="21"/>
      <c r="BA58" s="21"/>
      <c r="BB58" s="21"/>
    </row>
    <row collapsed="false" customFormat="false" customHeight="true" hidden="false" ht="15.75" outlineLevel="0" r="59">
      <c r="A59" s="32"/>
      <c r="B59" s="32"/>
      <c r="C59" s="50"/>
      <c r="D59" s="181"/>
      <c r="E59" s="182"/>
      <c r="F59" s="78"/>
      <c r="G59" s="54" t="s">
        <v>44</v>
      </c>
      <c r="H59" s="79" t="n">
        <v>46007</v>
      </c>
      <c r="I59" s="79" t="n">
        <v>46022</v>
      </c>
      <c r="J59" s="80" t="n">
        <v>88</v>
      </c>
      <c r="K59" s="81"/>
      <c r="L59" s="82"/>
      <c r="M59" s="108"/>
      <c r="N59" s="169" t="n">
        <v>95000</v>
      </c>
      <c r="O59" s="60" t="n">
        <v>176</v>
      </c>
      <c r="P59" s="59" t="n">
        <f aca="false">N59/O59*(J59+K59+L59+M59)</f>
        <v>47500</v>
      </c>
      <c r="Q59" s="84"/>
      <c r="R59" s="85"/>
      <c r="S59" s="85"/>
      <c r="T59" s="85"/>
      <c r="U59" s="85"/>
      <c r="V59" s="85"/>
      <c r="W59" s="87"/>
      <c r="X59" s="65" t="n">
        <f aca="false">SUM(P59:W59)</f>
        <v>47500</v>
      </c>
      <c r="Y59" s="88"/>
      <c r="Z59" s="89" t="n">
        <f aca="false">AG58</f>
        <v>-13</v>
      </c>
      <c r="AA59" s="90" t="n">
        <f aca="false">X59+Y59+Z59</f>
        <v>47487</v>
      </c>
      <c r="AB59" s="91"/>
      <c r="AC59" s="103" t="n">
        <v>13050</v>
      </c>
      <c r="AD59" s="92" t="n">
        <v>34500</v>
      </c>
      <c r="AE59" s="92" t="n">
        <f aca="false">AC59+AD59+AB59</f>
        <v>47550</v>
      </c>
      <c r="AF59" s="92"/>
      <c r="AG59" s="104" t="n">
        <v>-63</v>
      </c>
      <c r="AH59" s="105"/>
      <c r="AI59" s="161"/>
      <c r="AJ59" s="75"/>
      <c r="AK59" s="130"/>
      <c r="AL59" s="75"/>
      <c r="AM59" s="75"/>
      <c r="AN59" s="76"/>
      <c r="AO59" s="74"/>
      <c r="AP59" s="75"/>
      <c r="AQ59" s="75"/>
      <c r="AR59" s="75"/>
      <c r="AS59" s="75"/>
      <c r="AT59" s="75"/>
      <c r="AU59" s="31"/>
      <c r="AV59" s="21"/>
      <c r="AW59" s="21"/>
      <c r="AX59" s="21"/>
      <c r="AY59" s="21"/>
      <c r="AZ59" s="21"/>
      <c r="BA59" s="21"/>
      <c r="BB59" s="21"/>
    </row>
    <row collapsed="false" customFormat="false" customHeight="true" hidden="false" ht="15.75" outlineLevel="0" r="60">
      <c r="A60" s="32"/>
      <c r="B60" s="32"/>
      <c r="C60" s="50" t="n">
        <v>14</v>
      </c>
      <c r="D60" s="51" t="s">
        <v>97</v>
      </c>
      <c r="E60" s="52" t="s">
        <v>92</v>
      </c>
      <c r="F60" s="53" t="s">
        <v>64</v>
      </c>
      <c r="G60" s="54" t="s">
        <v>44</v>
      </c>
      <c r="H60" s="55" t="n">
        <v>45992</v>
      </c>
      <c r="I60" s="55" t="n">
        <v>46006</v>
      </c>
      <c r="J60" s="56" t="n">
        <v>88</v>
      </c>
      <c r="K60" s="57"/>
      <c r="L60" s="159"/>
      <c r="M60" s="58"/>
      <c r="N60" s="169" t="n">
        <v>175000</v>
      </c>
      <c r="O60" s="60" t="n">
        <v>176</v>
      </c>
      <c r="P60" s="59" t="n">
        <f aca="false">N60/O60*(J60+K60+L60+M60)</f>
        <v>87500</v>
      </c>
      <c r="Q60" s="61"/>
      <c r="R60" s="62"/>
      <c r="S60" s="62"/>
      <c r="T60" s="62"/>
      <c r="U60" s="62"/>
      <c r="V60" s="62"/>
      <c r="W60" s="64"/>
      <c r="X60" s="65" t="n">
        <f aca="false">SUM(P60:W60)</f>
        <v>87500</v>
      </c>
      <c r="Y60" s="66"/>
      <c r="Z60" s="67" t="n">
        <v>-1577</v>
      </c>
      <c r="AA60" s="68" t="n">
        <f aca="false">X60+Y60+Z60</f>
        <v>85923</v>
      </c>
      <c r="AB60" s="69"/>
      <c r="AC60" s="121"/>
      <c r="AD60" s="71" t="n">
        <v>87500</v>
      </c>
      <c r="AE60" s="71" t="n">
        <f aca="false">AC60+AD60+AB60</f>
        <v>87500</v>
      </c>
      <c r="AF60" s="72" t="n">
        <f aca="false">AE60+AE61</f>
        <v>175000</v>
      </c>
      <c r="AG60" s="71" t="n">
        <v>-77</v>
      </c>
      <c r="AH60" s="170"/>
      <c r="AI60" s="183"/>
      <c r="AJ60" s="184" t="n">
        <f aca="false">AD60</f>
        <v>87500</v>
      </c>
      <c r="AK60" s="75"/>
      <c r="AL60" s="75"/>
      <c r="AM60" s="76" t="n">
        <f aca="false">AC60</f>
        <v>0</v>
      </c>
      <c r="AN60" s="75"/>
      <c r="AO60" s="75"/>
      <c r="AP60" s="127" t="n">
        <f aca="false">AD61</f>
        <v>87500</v>
      </c>
      <c r="AQ60" s="75"/>
      <c r="AR60" s="75"/>
      <c r="AS60" s="75" t="n">
        <f aca="false">AC61</f>
        <v>0</v>
      </c>
      <c r="AT60" s="75"/>
      <c r="AU60" s="48"/>
      <c r="AV60" s="21"/>
      <c r="AW60" s="21"/>
      <c r="AX60" s="21"/>
      <c r="AY60" s="21"/>
      <c r="AZ60" s="21"/>
      <c r="BA60" s="21"/>
      <c r="BB60" s="21"/>
    </row>
    <row collapsed="false" customFormat="false" customHeight="true" hidden="false" ht="15.75" outlineLevel="0" r="61">
      <c r="A61" s="32"/>
      <c r="B61" s="32"/>
      <c r="C61" s="50"/>
      <c r="D61" s="51"/>
      <c r="E61" s="52"/>
      <c r="F61" s="78"/>
      <c r="G61" s="54" t="s">
        <v>44</v>
      </c>
      <c r="H61" s="79" t="n">
        <v>46007</v>
      </c>
      <c r="I61" s="79" t="n">
        <v>46022</v>
      </c>
      <c r="J61" s="80" t="n">
        <v>88</v>
      </c>
      <c r="K61" s="81"/>
      <c r="L61" s="82"/>
      <c r="M61" s="108"/>
      <c r="N61" s="162" t="n">
        <v>175000</v>
      </c>
      <c r="O61" s="60" t="n">
        <v>176</v>
      </c>
      <c r="P61" s="59" t="n">
        <f aca="false">N61/O61*(J61+K61+L61+M61)</f>
        <v>87500</v>
      </c>
      <c r="Q61" s="84"/>
      <c r="R61" s="85"/>
      <c r="S61" s="85"/>
      <c r="T61" s="85"/>
      <c r="U61" s="85"/>
      <c r="V61" s="85"/>
      <c r="W61" s="87"/>
      <c r="X61" s="88" t="n">
        <f aca="false">SUM(P61:W61)</f>
        <v>87500</v>
      </c>
      <c r="Y61" s="88"/>
      <c r="Z61" s="89" t="n">
        <f aca="false">AG60</f>
        <v>-77</v>
      </c>
      <c r="AA61" s="90" t="n">
        <f aca="false">X61+Y61+Z61</f>
        <v>87423</v>
      </c>
      <c r="AB61" s="91"/>
      <c r="AC61" s="111"/>
      <c r="AD61" s="92" t="n">
        <v>87500</v>
      </c>
      <c r="AE61" s="92" t="n">
        <f aca="false">AC61+AD61+AB61</f>
        <v>87500</v>
      </c>
      <c r="AF61" s="92"/>
      <c r="AG61" s="104" t="n">
        <v>-77</v>
      </c>
      <c r="AH61" s="163"/>
      <c r="AI61" s="183"/>
      <c r="AJ61" s="184"/>
      <c r="AK61" s="75"/>
      <c r="AL61" s="75"/>
      <c r="AM61" s="76"/>
      <c r="AN61" s="75"/>
      <c r="AO61" s="75"/>
      <c r="AP61" s="127"/>
      <c r="AQ61" s="127"/>
      <c r="AR61" s="75"/>
      <c r="AS61" s="75"/>
      <c r="AT61" s="75"/>
      <c r="AU61" s="31"/>
      <c r="AV61" s="21"/>
      <c r="AW61" s="21"/>
      <c r="AX61" s="21"/>
      <c r="AY61" s="21"/>
      <c r="AZ61" s="21"/>
      <c r="BA61" s="21"/>
      <c r="BB61" s="21"/>
    </row>
    <row collapsed="false" customFormat="false" customHeight="true" hidden="false" ht="15.75" outlineLevel="0" r="62">
      <c r="A62" s="32"/>
      <c r="B62" s="135" t="n">
        <v>44922</v>
      </c>
      <c r="C62" s="50" t="n">
        <v>15</v>
      </c>
      <c r="D62" s="185" t="s">
        <v>98</v>
      </c>
      <c r="E62" s="186" t="s">
        <v>99</v>
      </c>
      <c r="F62" s="53" t="s">
        <v>64</v>
      </c>
      <c r="G62" s="54" t="s">
        <v>44</v>
      </c>
      <c r="H62" s="55" t="n">
        <v>45992</v>
      </c>
      <c r="I62" s="55" t="n">
        <v>46006</v>
      </c>
      <c r="J62" s="56" t="n">
        <v>88</v>
      </c>
      <c r="K62" s="57"/>
      <c r="L62" s="159"/>
      <c r="M62" s="58"/>
      <c r="N62" s="169" t="n">
        <v>120000</v>
      </c>
      <c r="O62" s="60" t="n">
        <v>176</v>
      </c>
      <c r="P62" s="59" t="n">
        <f aca="false">N62/O62*(J62+K62+L62+M62)</f>
        <v>60000</v>
      </c>
      <c r="Q62" s="61"/>
      <c r="R62" s="62"/>
      <c r="S62" s="62"/>
      <c r="T62" s="62"/>
      <c r="U62" s="62"/>
      <c r="V62" s="62"/>
      <c r="W62" s="64"/>
      <c r="X62" s="65" t="n">
        <f aca="false">SUM(P62:W62)</f>
        <v>60000</v>
      </c>
      <c r="Y62" s="66"/>
      <c r="Z62" s="67" t="n">
        <v>-63</v>
      </c>
      <c r="AA62" s="68" t="n">
        <f aca="false">X62+Y62+Z62</f>
        <v>59937</v>
      </c>
      <c r="AB62" s="69"/>
      <c r="AC62" s="70" t="n">
        <v>13050</v>
      </c>
      <c r="AD62" s="71" t="n">
        <v>47000</v>
      </c>
      <c r="AE62" s="71" t="n">
        <f aca="false">AC62+AD62+AB62</f>
        <v>60050</v>
      </c>
      <c r="AF62" s="72" t="n">
        <f aca="false">AE62+AE63</f>
        <v>120100</v>
      </c>
      <c r="AG62" s="71" t="n">
        <v>-112.999999999993</v>
      </c>
      <c r="AH62" s="122"/>
      <c r="AI62" s="161" t="n">
        <f aca="false">AD62</f>
        <v>47000</v>
      </c>
      <c r="AJ62" s="75"/>
      <c r="AK62" s="99" t="n">
        <f aca="false">AC62</f>
        <v>13050</v>
      </c>
      <c r="AL62" s="99"/>
      <c r="AM62" s="75"/>
      <c r="AN62" s="75"/>
      <c r="AO62" s="74" t="n">
        <f aca="false">AD63</f>
        <v>47000</v>
      </c>
      <c r="AP62" s="75"/>
      <c r="AQ62" s="99" t="n">
        <f aca="false">AC63</f>
        <v>13050</v>
      </c>
      <c r="AR62" s="99"/>
      <c r="AS62" s="75"/>
      <c r="AT62" s="75"/>
      <c r="AU62" s="48"/>
      <c r="AV62" s="21"/>
      <c r="AW62" s="21"/>
      <c r="AX62" s="21"/>
      <c r="AY62" s="21"/>
      <c r="AZ62" s="21"/>
      <c r="BA62" s="21"/>
      <c r="BB62" s="21"/>
    </row>
    <row collapsed="false" customFormat="false" customHeight="true" hidden="false" ht="15.75" outlineLevel="0" r="63">
      <c r="A63" s="32"/>
      <c r="B63" s="32"/>
      <c r="C63" s="50"/>
      <c r="D63" s="185"/>
      <c r="E63" s="186"/>
      <c r="F63" s="78"/>
      <c r="G63" s="54" t="s">
        <v>44</v>
      </c>
      <c r="H63" s="79" t="n">
        <v>46007</v>
      </c>
      <c r="I63" s="79" t="n">
        <v>46022</v>
      </c>
      <c r="J63" s="80" t="n">
        <v>88</v>
      </c>
      <c r="K63" s="81"/>
      <c r="L63" s="82"/>
      <c r="M63" s="108"/>
      <c r="N63" s="162" t="n">
        <f aca="false">N62</f>
        <v>120000</v>
      </c>
      <c r="O63" s="60" t="n">
        <v>176</v>
      </c>
      <c r="P63" s="59" t="n">
        <f aca="false">N63/O63*(J63+K63+L63+M63)</f>
        <v>60000</v>
      </c>
      <c r="Q63" s="84"/>
      <c r="R63" s="85"/>
      <c r="S63" s="85"/>
      <c r="T63" s="85"/>
      <c r="U63" s="85"/>
      <c r="V63" s="85"/>
      <c r="W63" s="87"/>
      <c r="X63" s="88" t="n">
        <f aca="false">SUM(P63:W63)</f>
        <v>60000</v>
      </c>
      <c r="Y63" s="88"/>
      <c r="Z63" s="89" t="n">
        <f aca="false">AG62</f>
        <v>-112.999999999993</v>
      </c>
      <c r="AA63" s="90" t="n">
        <f aca="false">X63+Y63+Z63</f>
        <v>59887</v>
      </c>
      <c r="AB63" s="91"/>
      <c r="AC63" s="103" t="n">
        <v>13050</v>
      </c>
      <c r="AD63" s="92" t="n">
        <v>47000</v>
      </c>
      <c r="AE63" s="92" t="n">
        <f aca="false">AC63+AD63+AB63</f>
        <v>60050</v>
      </c>
      <c r="AF63" s="92"/>
      <c r="AG63" s="104" t="n">
        <v>-162.999999999985</v>
      </c>
      <c r="AH63" s="105"/>
      <c r="AI63" s="161"/>
      <c r="AJ63" s="75"/>
      <c r="AK63" s="99"/>
      <c r="AL63" s="99"/>
      <c r="AM63" s="75"/>
      <c r="AN63" s="75"/>
      <c r="AO63" s="74"/>
      <c r="AP63" s="75"/>
      <c r="AQ63" s="75"/>
      <c r="AR63" s="99"/>
      <c r="AS63" s="75"/>
      <c r="AT63" s="75"/>
      <c r="AU63" s="31"/>
      <c r="AV63" s="21"/>
      <c r="AW63" s="21"/>
      <c r="AX63" s="21"/>
      <c r="AY63" s="21"/>
      <c r="AZ63" s="21"/>
      <c r="BA63" s="21"/>
      <c r="BB63" s="21"/>
    </row>
    <row collapsed="false" customFormat="false" customHeight="true" hidden="false" ht="15.75" outlineLevel="0" r="64">
      <c r="A64" s="32"/>
      <c r="B64" s="49" t="n">
        <v>45404</v>
      </c>
      <c r="C64" s="50" t="n">
        <v>16</v>
      </c>
      <c r="D64" s="157" t="s">
        <v>100</v>
      </c>
      <c r="E64" s="187" t="s">
        <v>74</v>
      </c>
      <c r="F64" s="53" t="s">
        <v>64</v>
      </c>
      <c r="G64" s="54" t="s">
        <v>44</v>
      </c>
      <c r="H64" s="55" t="n">
        <v>45992</v>
      </c>
      <c r="I64" s="55" t="n">
        <v>46006</v>
      </c>
      <c r="J64" s="56" t="n">
        <v>88</v>
      </c>
      <c r="K64" s="57"/>
      <c r="L64" s="159"/>
      <c r="M64" s="58"/>
      <c r="N64" s="59" t="n">
        <v>50000</v>
      </c>
      <c r="O64" s="60" t="n">
        <v>176</v>
      </c>
      <c r="P64" s="59" t="n">
        <f aca="false">N64/O64*(J64+K64+L64+M64)</f>
        <v>25000</v>
      </c>
      <c r="Q64" s="61"/>
      <c r="R64" s="62"/>
      <c r="S64" s="62"/>
      <c r="T64" s="62"/>
      <c r="U64" s="62"/>
      <c r="V64" s="62"/>
      <c r="W64" s="64"/>
      <c r="X64" s="65" t="n">
        <f aca="false">SUM(P64:W64)</f>
        <v>25000</v>
      </c>
      <c r="Y64" s="66"/>
      <c r="Z64" s="67" t="n">
        <v>0</v>
      </c>
      <c r="AA64" s="68" t="n">
        <f aca="false">X64+Y64+Z64</f>
        <v>25000</v>
      </c>
      <c r="AB64" s="69"/>
      <c r="AC64" s="188"/>
      <c r="AD64" s="188" t="n">
        <v>25000</v>
      </c>
      <c r="AE64" s="71" t="n">
        <f aca="false">AC64+AD64+AB64</f>
        <v>25000</v>
      </c>
      <c r="AF64" s="72" t="n">
        <f aca="false">AE64+AE65</f>
        <v>50000</v>
      </c>
      <c r="AG64" s="71" t="n">
        <v>-3.63797880709171E-012</v>
      </c>
      <c r="AH64" s="170"/>
      <c r="AI64" s="183"/>
      <c r="AJ64" s="189" t="n">
        <f aca="false">AD64</f>
        <v>25000</v>
      </c>
      <c r="AK64" s="75"/>
      <c r="AL64" s="75"/>
      <c r="AM64" s="75" t="n">
        <f aca="false">AC64</f>
        <v>0</v>
      </c>
      <c r="AN64" s="75"/>
      <c r="AO64" s="75"/>
      <c r="AP64" s="189" t="n">
        <f aca="false">AD65</f>
        <v>25000</v>
      </c>
      <c r="AQ64" s="75"/>
      <c r="AR64" s="75"/>
      <c r="AS64" s="75" t="n">
        <f aca="false">AC65</f>
        <v>0</v>
      </c>
      <c r="AT64" s="75"/>
      <c r="AU64" s="134"/>
      <c r="AV64" s="21"/>
      <c r="AW64" s="21"/>
      <c r="AX64" s="21"/>
      <c r="AY64" s="21"/>
      <c r="AZ64" s="21"/>
      <c r="BA64" s="21"/>
      <c r="BB64" s="21"/>
    </row>
    <row collapsed="false" customFormat="false" customHeight="true" hidden="false" ht="15.75" outlineLevel="0" r="65">
      <c r="A65" s="32"/>
      <c r="B65" s="32"/>
      <c r="C65" s="50"/>
      <c r="D65" s="157"/>
      <c r="E65" s="187"/>
      <c r="F65" s="78"/>
      <c r="G65" s="54" t="s">
        <v>44</v>
      </c>
      <c r="H65" s="79" t="n">
        <v>46007</v>
      </c>
      <c r="I65" s="79" t="n">
        <v>46022</v>
      </c>
      <c r="J65" s="80" t="n">
        <v>88</v>
      </c>
      <c r="K65" s="81"/>
      <c r="L65" s="82"/>
      <c r="M65" s="108"/>
      <c r="N65" s="83" t="n">
        <v>50000</v>
      </c>
      <c r="O65" s="60" t="n">
        <v>176</v>
      </c>
      <c r="P65" s="59" t="n">
        <f aca="false">N65/O65*(J65+K65+L65+M65)</f>
        <v>25000</v>
      </c>
      <c r="Q65" s="84"/>
      <c r="R65" s="85"/>
      <c r="S65" s="85"/>
      <c r="T65" s="85"/>
      <c r="U65" s="85"/>
      <c r="V65" s="85"/>
      <c r="W65" s="87"/>
      <c r="X65" s="65" t="n">
        <f aca="false">SUM(P65:W65)</f>
        <v>25000</v>
      </c>
      <c r="Y65" s="88"/>
      <c r="Z65" s="89" t="n">
        <f aca="false">AG64</f>
        <v>-3.63797880709171E-012</v>
      </c>
      <c r="AA65" s="90" t="n">
        <f aca="false">X65+Y65+Z65</f>
        <v>25000</v>
      </c>
      <c r="AB65" s="91"/>
      <c r="AC65" s="190"/>
      <c r="AD65" s="190" t="n">
        <v>25000</v>
      </c>
      <c r="AE65" s="92" t="n">
        <f aca="false">AC65+AD65+AB65</f>
        <v>25000</v>
      </c>
      <c r="AF65" s="92"/>
      <c r="AG65" s="178" t="n">
        <v>-7.27595761418343E-012</v>
      </c>
      <c r="AH65" s="163"/>
      <c r="AI65" s="183"/>
      <c r="AJ65" s="189"/>
      <c r="AK65" s="75"/>
      <c r="AL65" s="75"/>
      <c r="AM65" s="75"/>
      <c r="AN65" s="75"/>
      <c r="AO65" s="75"/>
      <c r="AP65" s="189"/>
      <c r="AQ65" s="75"/>
      <c r="AR65" s="75"/>
      <c r="AS65" s="75"/>
      <c r="AT65" s="75"/>
      <c r="AU65" s="31"/>
      <c r="AV65" s="21"/>
      <c r="AW65" s="21"/>
      <c r="AX65" s="21"/>
      <c r="AY65" s="21"/>
      <c r="AZ65" s="21"/>
      <c r="BA65" s="21"/>
      <c r="BB65" s="21"/>
    </row>
    <row collapsed="false" customFormat="false" customHeight="true" hidden="false" ht="15.75" outlineLevel="0" r="66">
      <c r="A66" s="32"/>
      <c r="B66" s="164" t="n">
        <v>45201</v>
      </c>
      <c r="C66" s="50" t="n">
        <v>17</v>
      </c>
      <c r="D66" s="157" t="s">
        <v>101</v>
      </c>
      <c r="E66" s="187" t="s">
        <v>74</v>
      </c>
      <c r="F66" s="53" t="s">
        <v>64</v>
      </c>
      <c r="G66" s="54" t="s">
        <v>44</v>
      </c>
      <c r="H66" s="55" t="n">
        <v>45992</v>
      </c>
      <c r="I66" s="55" t="n">
        <v>46006</v>
      </c>
      <c r="J66" s="56" t="n">
        <v>88</v>
      </c>
      <c r="K66" s="57"/>
      <c r="L66" s="159"/>
      <c r="M66" s="58"/>
      <c r="N66" s="59" t="n">
        <v>75000</v>
      </c>
      <c r="O66" s="60" t="n">
        <v>176</v>
      </c>
      <c r="P66" s="59" t="n">
        <f aca="false">N66/O66*(J66+K66+L66+M66)</f>
        <v>37500</v>
      </c>
      <c r="Q66" s="61"/>
      <c r="R66" s="62"/>
      <c r="S66" s="62"/>
      <c r="T66" s="62"/>
      <c r="U66" s="62"/>
      <c r="V66" s="62"/>
      <c r="W66" s="64"/>
      <c r="X66" s="65" t="n">
        <f aca="false">SUM(P66:W66)</f>
        <v>37500</v>
      </c>
      <c r="Y66" s="66"/>
      <c r="Z66" s="67" t="n">
        <v>0</v>
      </c>
      <c r="AA66" s="68" t="n">
        <f aca="false">X66+Y66+Z66</f>
        <v>37500</v>
      </c>
      <c r="AB66" s="69"/>
      <c r="AC66" s="121"/>
      <c r="AD66" s="121" t="n">
        <v>37500</v>
      </c>
      <c r="AE66" s="71" t="n">
        <f aca="false">AC66+AD66+AB66</f>
        <v>37500</v>
      </c>
      <c r="AF66" s="72" t="n">
        <f aca="false">AE66+AE67</f>
        <v>75000</v>
      </c>
      <c r="AG66" s="71" t="n">
        <v>0</v>
      </c>
      <c r="AH66" s="170"/>
      <c r="AI66" s="183"/>
      <c r="AJ66" s="189" t="n">
        <f aca="false">AD66</f>
        <v>37500</v>
      </c>
      <c r="AK66" s="75"/>
      <c r="AL66" s="75"/>
      <c r="AM66" s="75" t="n">
        <f aca="false">AC66</f>
        <v>0</v>
      </c>
      <c r="AN66" s="75"/>
      <c r="AO66" s="75"/>
      <c r="AP66" s="189" t="n">
        <f aca="false">AD67</f>
        <v>37500</v>
      </c>
      <c r="AQ66" s="75"/>
      <c r="AR66" s="75"/>
      <c r="AS66" s="75" t="n">
        <f aca="false">AC67</f>
        <v>0</v>
      </c>
      <c r="AT66" s="75"/>
      <c r="AU66" s="134"/>
      <c r="AV66" s="21"/>
      <c r="AW66" s="21"/>
      <c r="AX66" s="21"/>
      <c r="AY66" s="21"/>
      <c r="AZ66" s="21"/>
      <c r="BA66" s="21"/>
      <c r="BB66" s="21"/>
    </row>
    <row collapsed="false" customFormat="false" customHeight="true" hidden="false" ht="15.75" outlineLevel="0" r="67">
      <c r="A67" s="32"/>
      <c r="B67" s="32"/>
      <c r="C67" s="50"/>
      <c r="D67" s="157"/>
      <c r="E67" s="187"/>
      <c r="F67" s="78"/>
      <c r="G67" s="54" t="s">
        <v>44</v>
      </c>
      <c r="H67" s="79" t="n">
        <v>46007</v>
      </c>
      <c r="I67" s="79" t="n">
        <v>46022</v>
      </c>
      <c r="J67" s="80" t="n">
        <v>88</v>
      </c>
      <c r="K67" s="81"/>
      <c r="L67" s="82"/>
      <c r="M67" s="108"/>
      <c r="N67" s="83" t="n">
        <v>75000</v>
      </c>
      <c r="O67" s="60" t="n">
        <v>176</v>
      </c>
      <c r="P67" s="59" t="n">
        <f aca="false">N67/O67*(J67+K67+L67+M67)</f>
        <v>37500</v>
      </c>
      <c r="Q67" s="84"/>
      <c r="R67" s="85"/>
      <c r="S67" s="85"/>
      <c r="T67" s="85"/>
      <c r="U67" s="85"/>
      <c r="V67" s="85"/>
      <c r="W67" s="87"/>
      <c r="X67" s="88" t="n">
        <f aca="false">SUM(P67:W67)</f>
        <v>37500</v>
      </c>
      <c r="Y67" s="88"/>
      <c r="Z67" s="89" t="n">
        <f aca="false">AG66</f>
        <v>0</v>
      </c>
      <c r="AA67" s="90" t="n">
        <f aca="false">X67+Y67+Z67</f>
        <v>37500</v>
      </c>
      <c r="AB67" s="91"/>
      <c r="AC67" s="111"/>
      <c r="AD67" s="92" t="n">
        <v>37500</v>
      </c>
      <c r="AE67" s="92" t="n">
        <f aca="false">AC67+AD67+AB67</f>
        <v>37500</v>
      </c>
      <c r="AF67" s="92"/>
      <c r="AG67" s="178" t="n">
        <v>0</v>
      </c>
      <c r="AH67" s="163"/>
      <c r="AI67" s="183"/>
      <c r="AJ67" s="189"/>
      <c r="AK67" s="75"/>
      <c r="AL67" s="75"/>
      <c r="AM67" s="75"/>
      <c r="AN67" s="75"/>
      <c r="AO67" s="75"/>
      <c r="AP67" s="189"/>
      <c r="AQ67" s="189"/>
      <c r="AR67" s="75"/>
      <c r="AS67" s="75"/>
      <c r="AT67" s="75"/>
      <c r="AU67" s="31"/>
      <c r="AV67" s="21"/>
      <c r="AW67" s="21"/>
      <c r="AX67" s="21"/>
      <c r="AY67" s="21"/>
      <c r="AZ67" s="21"/>
      <c r="BA67" s="21"/>
      <c r="BB67" s="21"/>
    </row>
    <row collapsed="false" customFormat="false" customHeight="true" hidden="false" ht="15.75" outlineLevel="0" r="68">
      <c r="A68" s="32"/>
      <c r="B68" s="191" t="s">
        <v>102</v>
      </c>
      <c r="C68" s="32" t="n">
        <f aca="false">C66+C28</f>
        <v>30</v>
      </c>
      <c r="D68" s="32"/>
      <c r="E68" s="192"/>
      <c r="F68" s="32"/>
      <c r="G68" s="32"/>
      <c r="H68" s="32"/>
      <c r="I68" s="32"/>
      <c r="J68" s="32"/>
      <c r="K68" s="32"/>
      <c r="L68" s="144"/>
      <c r="M68" s="32"/>
      <c r="N68" s="32"/>
      <c r="O68" s="32"/>
      <c r="P68" s="32"/>
      <c r="Q68" s="32"/>
      <c r="R68" s="144"/>
      <c r="S68" s="144"/>
      <c r="T68" s="144"/>
      <c r="U68" s="144"/>
      <c r="V68" s="144"/>
      <c r="W68" s="144"/>
      <c r="X68" s="32"/>
      <c r="Y68" s="193"/>
      <c r="Z68" s="194"/>
      <c r="AA68" s="194"/>
      <c r="AB68" s="194"/>
      <c r="AC68" s="194"/>
      <c r="AD68" s="194"/>
      <c r="AE68" s="194"/>
      <c r="AF68" s="194"/>
      <c r="AG68" s="194"/>
      <c r="AH68" s="195"/>
      <c r="AI68" s="196"/>
      <c r="AJ68" s="197"/>
      <c r="AK68" s="198"/>
      <c r="AL68" s="199"/>
      <c r="AM68" s="200"/>
      <c r="AN68" s="201"/>
      <c r="AO68" s="194"/>
      <c r="AP68" s="197"/>
      <c r="AQ68" s="198"/>
      <c r="AR68" s="198"/>
      <c r="AS68" s="200"/>
      <c r="AT68" s="202"/>
      <c r="AU68" s="21"/>
      <c r="AV68" s="21"/>
      <c r="AW68" s="21"/>
      <c r="AX68" s="21"/>
      <c r="AY68" s="21"/>
      <c r="AZ68" s="21"/>
      <c r="BA68" s="21"/>
      <c r="BB68" s="21"/>
    </row>
    <row collapsed="false" customFormat="false" customHeight="true" hidden="false" ht="15.75" outlineLevel="0" r="69">
      <c r="A69" s="32"/>
      <c r="B69" s="32"/>
      <c r="C69" s="32"/>
      <c r="D69" s="32"/>
      <c r="E69" s="192"/>
      <c r="F69" s="32"/>
      <c r="G69" s="32"/>
      <c r="H69" s="32"/>
      <c r="I69" s="32"/>
      <c r="J69" s="32"/>
      <c r="K69" s="32"/>
      <c r="L69" s="144"/>
      <c r="M69" s="32"/>
      <c r="N69" s="32"/>
      <c r="O69" s="32"/>
      <c r="P69" s="32"/>
      <c r="Q69" s="32"/>
      <c r="R69" s="144"/>
      <c r="S69" s="144"/>
      <c r="T69" s="144"/>
      <c r="U69" s="144"/>
      <c r="V69" s="144"/>
      <c r="W69" s="144"/>
      <c r="X69" s="32"/>
      <c r="Y69" s="203"/>
      <c r="Z69" s="143"/>
      <c r="AA69" s="143"/>
      <c r="AB69" s="143"/>
      <c r="AC69" s="204"/>
      <c r="AD69" s="204"/>
      <c r="AE69" s="143"/>
      <c r="AF69" s="143"/>
      <c r="AG69" s="143"/>
      <c r="AH69" s="32"/>
      <c r="AI69" s="204"/>
      <c r="AJ69" s="205"/>
      <c r="AK69" s="206"/>
      <c r="AL69" s="207"/>
      <c r="AM69" s="208"/>
      <c r="AN69" s="209"/>
      <c r="AO69" s="210"/>
      <c r="AP69" s="205"/>
      <c r="AQ69" s="206"/>
      <c r="AR69" s="208"/>
      <c r="AS69" s="200"/>
      <c r="AT69" s="202"/>
      <c r="AU69" s="21"/>
      <c r="AV69" s="21"/>
      <c r="AW69" s="21"/>
      <c r="AX69" s="21"/>
      <c r="AY69" s="21"/>
      <c r="AZ69" s="21"/>
      <c r="BA69" s="21"/>
      <c r="BB69" s="21"/>
    </row>
    <row collapsed="false" customFormat="false" customHeight="true" hidden="false" ht="15.75" outlineLevel="0" r="70">
      <c r="A70" s="32"/>
      <c r="B70" s="32"/>
      <c r="C70" s="32"/>
      <c r="D70" s="32"/>
      <c r="E70" s="192"/>
      <c r="F70" s="32"/>
      <c r="G70" s="32"/>
      <c r="H70" s="32"/>
      <c r="I70" s="32"/>
      <c r="J70" s="32"/>
      <c r="K70" s="32"/>
      <c r="L70" s="144"/>
      <c r="M70" s="32"/>
      <c r="N70" s="32"/>
      <c r="O70" s="32"/>
      <c r="P70" s="32"/>
      <c r="Q70" s="32"/>
      <c r="R70" s="144"/>
      <c r="S70" s="144"/>
      <c r="T70" s="144"/>
      <c r="U70" s="144"/>
      <c r="V70" s="144"/>
      <c r="W70" s="144"/>
      <c r="X70" s="32"/>
      <c r="Y70" s="211"/>
      <c r="Z70" s="212"/>
      <c r="AA70" s="213"/>
      <c r="AB70" s="214"/>
      <c r="AC70" s="214"/>
      <c r="AD70" s="214"/>
      <c r="AE70" s="215"/>
      <c r="AF70" s="215"/>
      <c r="AG70" s="216"/>
      <c r="AH70" s="217"/>
      <c r="AI70" s="218"/>
      <c r="AJ70" s="219"/>
      <c r="AK70" s="220"/>
      <c r="AL70" s="221"/>
      <c r="AM70" s="222"/>
      <c r="AN70" s="223"/>
      <c r="AO70" s="224"/>
      <c r="AP70" s="219"/>
      <c r="AQ70" s="220"/>
      <c r="AR70" s="220"/>
      <c r="AS70" s="222"/>
      <c r="AT70" s="220"/>
      <c r="AU70" s="21"/>
      <c r="AV70" s="21"/>
      <c r="AW70" s="21"/>
      <c r="AX70" s="21"/>
      <c r="AY70" s="21"/>
      <c r="AZ70" s="21"/>
      <c r="BA70" s="21"/>
      <c r="BB70" s="21"/>
    </row>
    <row collapsed="false" customFormat="false" customHeight="true" hidden="false" ht="15.75" outlineLevel="0"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144"/>
      <c r="M71" s="32"/>
      <c r="N71" s="32"/>
      <c r="O71" s="32"/>
      <c r="P71" s="32"/>
      <c r="Q71" s="32"/>
      <c r="R71" s="144"/>
      <c r="S71" s="144"/>
      <c r="T71" s="144"/>
      <c r="U71" s="144"/>
      <c r="V71" s="144"/>
      <c r="W71" s="144"/>
      <c r="X71" s="32"/>
      <c r="Y71" s="32"/>
      <c r="Z71" s="32"/>
      <c r="AA71" s="32"/>
      <c r="AB71" s="32"/>
      <c r="AC71" s="32"/>
      <c r="AD71" s="32"/>
      <c r="AE71" s="32"/>
      <c r="AF71" s="32"/>
      <c r="AG71" s="113"/>
      <c r="AH71" s="21"/>
      <c r="AI71" s="225"/>
      <c r="AJ71" s="225"/>
      <c r="AK71" s="225"/>
      <c r="AL71" s="225"/>
      <c r="AM71" s="225"/>
      <c r="AN71" s="225"/>
      <c r="AO71" s="225"/>
      <c r="AP71" s="225"/>
      <c r="AQ71" s="225"/>
      <c r="AR71" s="225"/>
      <c r="AS71" s="21"/>
      <c r="AT71" s="21"/>
      <c r="AU71" s="21"/>
      <c r="AV71" s="21"/>
      <c r="AW71" s="21"/>
      <c r="AX71" s="21"/>
      <c r="AY71" s="21"/>
      <c r="AZ71" s="21"/>
      <c r="BA71" s="21"/>
      <c r="BB71" s="21"/>
    </row>
    <row collapsed="false" customFormat="false" customHeight="true" hidden="false" ht="15.75" outlineLevel="0"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144"/>
      <c r="M72" s="32"/>
      <c r="N72" s="32"/>
      <c r="O72" s="32"/>
      <c r="P72" s="32"/>
      <c r="Q72" s="32"/>
      <c r="R72" s="144"/>
      <c r="S72" s="144"/>
      <c r="T72" s="144"/>
      <c r="U72" s="144"/>
      <c r="V72" s="144"/>
      <c r="W72" s="144"/>
      <c r="X72" s="32"/>
      <c r="Y72" s="226"/>
      <c r="Z72" s="227"/>
      <c r="AA72" s="227"/>
      <c r="AB72" s="227"/>
      <c r="AC72" s="228"/>
      <c r="AD72" s="32"/>
      <c r="AE72" s="32"/>
      <c r="AF72" s="32"/>
      <c r="AG72" s="113"/>
      <c r="AH72" s="21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collapsed="false" customFormat="false" customHeight="true" hidden="false" ht="15.75" outlineLevel="0" r="73">
      <c r="A73" s="32"/>
      <c r="B73" s="32"/>
      <c r="C73" s="32" t="n">
        <v>12</v>
      </c>
      <c r="D73" s="32"/>
      <c r="E73" s="32"/>
      <c r="F73" s="32"/>
      <c r="G73" s="32"/>
      <c r="H73" s="32"/>
      <c r="I73" s="32"/>
      <c r="J73" s="32"/>
      <c r="K73" s="32"/>
      <c r="L73" s="144"/>
      <c r="M73" s="32"/>
      <c r="N73" s="32"/>
      <c r="O73" s="32"/>
      <c r="P73" s="32"/>
      <c r="Q73" s="32"/>
      <c r="R73" s="144"/>
      <c r="S73" s="144"/>
      <c r="T73" s="144"/>
      <c r="U73" s="144"/>
      <c r="V73" s="144"/>
      <c r="W73" s="144"/>
      <c r="X73" s="32"/>
      <c r="Y73" s="226"/>
      <c r="Z73" s="229"/>
      <c r="AA73" s="229"/>
      <c r="AB73" s="227"/>
      <c r="AC73" s="228"/>
      <c r="AD73" s="32"/>
      <c r="AE73" s="32"/>
      <c r="AF73" s="32"/>
      <c r="AG73" s="113"/>
      <c r="AH73" s="21"/>
      <c r="AI73" s="225"/>
      <c r="AJ73" s="225"/>
      <c r="AK73" s="225"/>
      <c r="AL73" s="225"/>
      <c r="AM73" s="225"/>
      <c r="AN73" s="225"/>
      <c r="AO73" s="225"/>
      <c r="AP73" s="225"/>
      <c r="AQ73" s="225"/>
      <c r="AR73" s="225"/>
      <c r="AS73" s="21"/>
      <c r="AT73" s="21"/>
      <c r="AU73" s="21"/>
      <c r="AV73" s="21"/>
      <c r="AW73" s="21"/>
      <c r="AX73" s="21"/>
      <c r="AY73" s="21"/>
      <c r="AZ73" s="21"/>
      <c r="BA73" s="21"/>
      <c r="BB73" s="21"/>
    </row>
    <row collapsed="false" customFormat="false" customHeight="true" hidden="false" ht="15.75" outlineLevel="0"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144"/>
      <c r="M74" s="32"/>
      <c r="N74" s="32"/>
      <c r="O74" s="32"/>
      <c r="P74" s="32"/>
      <c r="Q74" s="32"/>
      <c r="R74" s="144"/>
      <c r="S74" s="144"/>
      <c r="T74" s="144"/>
      <c r="U74" s="144"/>
      <c r="V74" s="144"/>
      <c r="W74" s="144"/>
      <c r="X74" s="32"/>
      <c r="Y74" s="226"/>
      <c r="Z74" s="230"/>
      <c r="AA74" s="230"/>
      <c r="AB74" s="227"/>
      <c r="AC74" s="228"/>
      <c r="AD74" s="32"/>
      <c r="AE74" s="32"/>
      <c r="AF74" s="32"/>
      <c r="AG74" s="113"/>
      <c r="AH74" s="21"/>
      <c r="AI74" s="225"/>
      <c r="AJ74" s="225"/>
      <c r="AK74" s="225"/>
      <c r="AL74" s="225"/>
      <c r="AM74" s="225"/>
      <c r="AN74" s="225"/>
      <c r="AO74" s="225"/>
      <c r="AP74" s="225"/>
      <c r="AQ74" s="225"/>
      <c r="AR74" s="225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collapsed="false" customFormat="false" customHeight="true" hidden="false" ht="15.75" outlineLevel="0"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144"/>
      <c r="M75" s="32"/>
      <c r="N75" s="32"/>
      <c r="O75" s="32"/>
      <c r="P75" s="32"/>
      <c r="Q75" s="32"/>
      <c r="R75" s="144"/>
      <c r="S75" s="144"/>
      <c r="T75" s="144"/>
      <c r="U75" s="144"/>
      <c r="V75" s="144"/>
      <c r="W75" s="144"/>
      <c r="X75" s="32"/>
      <c r="Y75" s="226"/>
      <c r="Z75" s="227"/>
      <c r="AA75" s="227"/>
      <c r="AB75" s="227"/>
      <c r="AC75" s="228"/>
      <c r="AD75" s="32"/>
      <c r="AE75" s="32"/>
      <c r="AF75" s="32"/>
      <c r="AG75" s="113"/>
      <c r="AH75" s="21"/>
      <c r="AI75" s="225"/>
      <c r="AJ75" s="225"/>
      <c r="AK75" s="225"/>
      <c r="AL75" s="225"/>
      <c r="AM75" s="225"/>
      <c r="AN75" s="225"/>
      <c r="AO75" s="225"/>
      <c r="AP75" s="225"/>
      <c r="AQ75" s="225"/>
      <c r="AR75" s="225"/>
      <c r="AS75" s="21"/>
      <c r="AT75" s="21"/>
      <c r="AU75" s="21"/>
      <c r="AV75" s="21"/>
      <c r="AW75" s="21"/>
      <c r="AX75" s="21"/>
      <c r="AY75" s="21"/>
      <c r="AZ75" s="21"/>
      <c r="BA75" s="21"/>
      <c r="BB75" s="21"/>
    </row>
    <row collapsed="false" customFormat="false" customHeight="true" hidden="false" ht="15.75" outlineLevel="0"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144"/>
      <c r="M76" s="32"/>
      <c r="N76" s="32"/>
      <c r="O76" s="32"/>
      <c r="P76" s="32"/>
      <c r="Q76" s="32"/>
      <c r="R76" s="144"/>
      <c r="S76" s="144"/>
      <c r="T76" s="144"/>
      <c r="U76" s="144"/>
      <c r="V76" s="144"/>
      <c r="W76" s="144"/>
      <c r="X76" s="32"/>
      <c r="Y76" s="226"/>
      <c r="Z76" s="231"/>
      <c r="AA76" s="231"/>
      <c r="AB76" s="227"/>
      <c r="AC76" s="228"/>
      <c r="AE76" s="32"/>
      <c r="AF76" s="32"/>
      <c r="AG76" s="113"/>
      <c r="AH76" s="21"/>
      <c r="AI76" s="225"/>
      <c r="AJ76" s="225"/>
      <c r="AK76" s="225"/>
      <c r="AL76" s="225"/>
      <c r="AM76" s="225"/>
      <c r="AN76" s="225"/>
      <c r="AO76" s="225"/>
      <c r="AP76" s="225"/>
      <c r="AQ76" s="225"/>
      <c r="AR76" s="225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collapsed="false" customFormat="false" customHeight="true" hidden="false" ht="15.75" outlineLevel="0"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144"/>
      <c r="M77" s="32"/>
      <c r="N77" s="32"/>
      <c r="O77" s="32"/>
      <c r="P77" s="32"/>
      <c r="Q77" s="32"/>
      <c r="R77" s="144"/>
      <c r="S77" s="144"/>
      <c r="T77" s="144"/>
      <c r="U77" s="144"/>
      <c r="V77" s="144"/>
      <c r="W77" s="144"/>
      <c r="X77" s="32"/>
      <c r="Y77" s="226"/>
      <c r="Z77" s="232"/>
      <c r="AA77" s="232"/>
      <c r="AB77" s="227"/>
      <c r="AC77" s="228"/>
      <c r="AD77" s="32"/>
      <c r="AE77" s="32"/>
      <c r="AF77" s="32"/>
      <c r="AG77" s="113"/>
      <c r="AH77" s="21"/>
      <c r="AI77" s="225"/>
      <c r="AJ77" s="225"/>
      <c r="AK77" s="225"/>
      <c r="AL77" s="225"/>
      <c r="AM77" s="225"/>
      <c r="AN77" s="225"/>
      <c r="AO77" s="225"/>
      <c r="AP77" s="225"/>
      <c r="AQ77" s="225"/>
      <c r="AR77" s="225"/>
      <c r="AS77" s="21"/>
      <c r="AT77" s="21"/>
      <c r="AU77" s="21"/>
      <c r="AV77" s="21"/>
      <c r="AW77" s="21"/>
      <c r="AX77" s="21"/>
      <c r="AY77" s="21"/>
      <c r="AZ77" s="21"/>
      <c r="BA77" s="21"/>
      <c r="BB77" s="21"/>
    </row>
    <row collapsed="false" customFormat="false" customHeight="true" hidden="false" ht="15.75" outlineLevel="0"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144"/>
      <c r="M78" s="32"/>
      <c r="N78" s="32"/>
      <c r="O78" s="32"/>
      <c r="P78" s="32"/>
      <c r="Q78" s="32"/>
      <c r="R78" s="144"/>
      <c r="S78" s="144"/>
      <c r="T78" s="144"/>
      <c r="U78" s="144"/>
      <c r="V78" s="144"/>
      <c r="W78" s="144"/>
      <c r="X78" s="32"/>
      <c r="Y78" s="226"/>
      <c r="Z78" s="233"/>
      <c r="AA78" s="233"/>
      <c r="AB78" s="227"/>
      <c r="AC78" s="228"/>
      <c r="AD78" s="32"/>
      <c r="AE78" s="32"/>
      <c r="AF78" s="32"/>
      <c r="AG78" s="113"/>
      <c r="AH78" s="21"/>
      <c r="AI78" s="225"/>
      <c r="AJ78" s="225"/>
      <c r="AK78" s="225"/>
      <c r="AL78" s="225"/>
      <c r="AM78" s="225"/>
      <c r="AN78" s="225"/>
      <c r="AO78" s="225"/>
      <c r="AP78" s="225"/>
      <c r="AQ78" s="225"/>
      <c r="AR78" s="225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collapsed="false" customFormat="false" customHeight="true" hidden="false" ht="15.75" outlineLevel="0"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144"/>
      <c r="M79" s="32"/>
      <c r="N79" s="32"/>
      <c r="O79" s="32"/>
      <c r="P79" s="32"/>
      <c r="Q79" s="32"/>
      <c r="R79" s="144"/>
      <c r="S79" s="144"/>
      <c r="T79" s="144"/>
      <c r="U79" s="144"/>
      <c r="V79" s="144"/>
      <c r="W79" s="144"/>
      <c r="X79" s="32"/>
      <c r="Y79" s="226"/>
      <c r="Z79" s="234"/>
      <c r="AA79" s="234"/>
      <c r="AB79" s="227"/>
      <c r="AC79" s="228"/>
      <c r="AD79" s="32"/>
      <c r="AE79" s="32"/>
      <c r="AF79" s="32"/>
      <c r="AG79" s="113"/>
      <c r="AH79" s="21"/>
      <c r="AI79" s="225"/>
      <c r="AJ79" s="225"/>
      <c r="AK79" s="225"/>
      <c r="AL79" s="225"/>
      <c r="AM79" s="225"/>
      <c r="AN79" s="225"/>
      <c r="AO79" s="225"/>
      <c r="AP79" s="225"/>
      <c r="AQ79" s="225"/>
      <c r="AR79" s="225"/>
      <c r="AS79" s="21"/>
      <c r="AT79" s="21"/>
      <c r="AU79" s="21"/>
      <c r="AV79" s="21"/>
      <c r="AW79" s="21"/>
      <c r="AX79" s="21"/>
      <c r="AY79" s="21"/>
      <c r="AZ79" s="21"/>
      <c r="BA79" s="21"/>
      <c r="BB79" s="21"/>
    </row>
    <row collapsed="false" customFormat="false" customHeight="true" hidden="false" ht="15.75" outlineLevel="0"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144"/>
      <c r="M80" s="32"/>
      <c r="N80" s="32"/>
      <c r="O80" s="32"/>
      <c r="P80" s="32"/>
      <c r="Q80" s="32"/>
      <c r="R80" s="144"/>
      <c r="S80" s="144"/>
      <c r="T80" s="144"/>
      <c r="U80" s="144"/>
      <c r="V80" s="144"/>
      <c r="W80" s="144"/>
      <c r="X80" s="32"/>
      <c r="Y80" s="226"/>
      <c r="Z80" s="235"/>
      <c r="AA80" s="235"/>
      <c r="AB80" s="227"/>
      <c r="AC80" s="228"/>
      <c r="AD80" s="32"/>
      <c r="AE80" s="32"/>
      <c r="AF80" s="32"/>
      <c r="AG80" s="113"/>
      <c r="AH80" s="21"/>
      <c r="AI80" s="225"/>
      <c r="AJ80" s="225"/>
      <c r="AK80" s="225"/>
      <c r="AL80" s="225"/>
      <c r="AM80" s="225"/>
      <c r="AN80" s="225"/>
      <c r="AO80" s="225"/>
      <c r="AP80" s="225"/>
      <c r="AQ80" s="225"/>
      <c r="AR80" s="225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collapsed="false" customFormat="false" customHeight="true" hidden="false" ht="15.75" outlineLevel="0"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144"/>
      <c r="M81" s="32"/>
      <c r="N81" s="32"/>
      <c r="O81" s="32"/>
      <c r="P81" s="32"/>
      <c r="Q81" s="32"/>
      <c r="R81" s="144"/>
      <c r="S81" s="144"/>
      <c r="T81" s="144"/>
      <c r="U81" s="144"/>
      <c r="V81" s="144"/>
      <c r="W81" s="144"/>
      <c r="X81" s="32"/>
      <c r="Y81" s="32"/>
      <c r="Z81" s="32"/>
      <c r="AA81" s="32"/>
      <c r="AB81" s="32"/>
      <c r="AC81" s="113"/>
      <c r="AD81" s="32"/>
      <c r="AE81" s="236"/>
      <c r="AF81" s="32"/>
      <c r="AG81" s="113"/>
      <c r="AH81" s="21"/>
      <c r="AI81" s="225"/>
      <c r="AJ81" s="225"/>
      <c r="AK81" s="225"/>
      <c r="AL81" s="225"/>
      <c r="AM81" s="225"/>
      <c r="AN81" s="225"/>
      <c r="AO81" s="225"/>
      <c r="AP81" s="225"/>
      <c r="AQ81" s="225"/>
      <c r="AR81" s="225"/>
      <c r="AS81" s="21"/>
      <c r="AT81" s="21"/>
      <c r="AU81" s="21"/>
      <c r="AV81" s="21"/>
      <c r="AW81" s="21"/>
      <c r="AX81" s="21"/>
      <c r="AY81" s="21"/>
      <c r="AZ81" s="21"/>
      <c r="BA81" s="21"/>
      <c r="BB81" s="21"/>
    </row>
    <row collapsed="false" customFormat="false" customHeight="true" hidden="false" ht="15.75" outlineLevel="0"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144"/>
      <c r="M82" s="32"/>
      <c r="N82" s="32"/>
      <c r="O82" s="32"/>
      <c r="P82" s="32"/>
      <c r="Q82" s="32"/>
      <c r="R82" s="144"/>
      <c r="S82" s="144"/>
      <c r="T82" s="144"/>
      <c r="U82" s="144"/>
      <c r="V82" s="144"/>
      <c r="W82" s="144"/>
      <c r="X82" s="32"/>
      <c r="Y82" s="32"/>
      <c r="Z82" s="32"/>
      <c r="AA82" s="32"/>
      <c r="AB82" s="32"/>
      <c r="AC82" s="32"/>
      <c r="AD82" s="32"/>
      <c r="AE82" s="32"/>
      <c r="AF82" s="32"/>
      <c r="AG82" s="113"/>
      <c r="AH82" s="21"/>
      <c r="AI82" s="225"/>
      <c r="AJ82" s="225"/>
      <c r="AK82" s="225"/>
      <c r="AL82" s="225"/>
      <c r="AM82" s="225"/>
      <c r="AN82" s="225"/>
      <c r="AO82" s="225"/>
      <c r="AP82" s="225"/>
      <c r="AQ82" s="225"/>
      <c r="AR82" s="225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collapsed="false" customFormat="false" customHeight="true" hidden="false" ht="15.75" outlineLevel="0"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144"/>
      <c r="M83" s="32"/>
      <c r="N83" s="32"/>
      <c r="O83" s="32"/>
      <c r="P83" s="32"/>
      <c r="Q83" s="32"/>
      <c r="R83" s="144"/>
      <c r="S83" s="144"/>
      <c r="T83" s="144"/>
      <c r="U83" s="144"/>
      <c r="V83" s="144"/>
      <c r="W83" s="144"/>
      <c r="X83" s="32"/>
      <c r="Y83" s="32"/>
      <c r="Z83" s="32"/>
      <c r="AA83" s="32"/>
      <c r="AB83" s="32"/>
      <c r="AC83" s="32"/>
      <c r="AD83" s="32"/>
      <c r="AE83" s="32"/>
      <c r="AF83" s="32"/>
      <c r="AG83" s="113"/>
      <c r="AH83" s="21"/>
      <c r="AI83" s="225"/>
      <c r="AJ83" s="225"/>
      <c r="AK83" s="225"/>
      <c r="AL83" s="225"/>
      <c r="AM83" s="225"/>
      <c r="AN83" s="225"/>
      <c r="AO83" s="225"/>
      <c r="AP83" s="225"/>
      <c r="AQ83" s="225"/>
      <c r="AR83" s="225"/>
      <c r="AS83" s="21"/>
      <c r="AT83" s="21"/>
      <c r="AU83" s="21"/>
      <c r="AV83" s="21"/>
      <c r="AW83" s="21"/>
      <c r="AX83" s="21"/>
      <c r="AY83" s="21"/>
      <c r="AZ83" s="21"/>
      <c r="BA83" s="21"/>
      <c r="BB83" s="21"/>
    </row>
    <row collapsed="false" customFormat="false" customHeight="true" hidden="false" ht="15.75" outlineLevel="0"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144"/>
      <c r="M84" s="32"/>
      <c r="N84" s="32"/>
      <c r="O84" s="32"/>
      <c r="P84" s="32"/>
      <c r="Q84" s="32"/>
      <c r="R84" s="144"/>
      <c r="S84" s="144"/>
      <c r="T84" s="144"/>
      <c r="U84" s="144"/>
      <c r="V84" s="144"/>
      <c r="W84" s="144"/>
      <c r="X84" s="32"/>
      <c r="Y84" s="32"/>
      <c r="Z84" s="32"/>
      <c r="AA84" s="32"/>
      <c r="AB84" s="32"/>
      <c r="AC84" s="32"/>
      <c r="AD84" s="32"/>
      <c r="AE84" s="32"/>
      <c r="AF84" s="32"/>
      <c r="AG84" s="113"/>
      <c r="AH84" s="21"/>
      <c r="AI84" s="225"/>
      <c r="AJ84" s="225"/>
      <c r="AK84" s="225"/>
      <c r="AL84" s="225"/>
      <c r="AM84" s="225"/>
      <c r="AN84" s="225"/>
      <c r="AO84" s="225"/>
      <c r="AP84" s="225"/>
      <c r="AQ84" s="225"/>
      <c r="AR84" s="225"/>
      <c r="AS84" s="21"/>
      <c r="AT84" s="21"/>
      <c r="AU84" s="21"/>
      <c r="AV84" s="21"/>
      <c r="AW84" s="21"/>
      <c r="AX84" s="21"/>
      <c r="AY84" s="21"/>
      <c r="AZ84" s="21"/>
      <c r="BA84" s="21"/>
      <c r="BB84" s="21"/>
    </row>
    <row collapsed="false" customFormat="false" customHeight="true" hidden="false" ht="15.75" outlineLevel="0" r="85">
      <c r="A85" s="32"/>
      <c r="B85" s="32"/>
      <c r="C85" s="22"/>
      <c r="D85" s="22" t="s">
        <v>103</v>
      </c>
      <c r="E85" s="23"/>
      <c r="F85" s="23"/>
      <c r="G85" s="22"/>
      <c r="H85" s="22"/>
      <c r="I85" s="24" t="s">
        <v>104</v>
      </c>
      <c r="J85" s="25"/>
      <c r="K85" s="25"/>
      <c r="L85" s="26"/>
      <c r="M85" s="27"/>
      <c r="N85" s="27"/>
      <c r="O85" s="27"/>
      <c r="P85" s="27"/>
      <c r="Q85" s="27"/>
      <c r="R85" s="27"/>
      <c r="S85" s="27"/>
      <c r="T85" s="27"/>
      <c r="U85" s="28" t="n">
        <v>120</v>
      </c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9"/>
      <c r="AG85" s="27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21"/>
      <c r="AV85" s="21"/>
      <c r="AW85" s="21"/>
      <c r="AX85" s="21"/>
      <c r="AY85" s="21"/>
      <c r="AZ85" s="21"/>
      <c r="BA85" s="21"/>
      <c r="BB85" s="21"/>
    </row>
    <row collapsed="false" customFormat="false" customHeight="true" hidden="false" ht="15.75" outlineLevel="0" r="86">
      <c r="A86" s="32"/>
      <c r="B86" s="32"/>
      <c r="C86" s="33"/>
      <c r="D86" s="34"/>
      <c r="E86" s="35"/>
      <c r="F86" s="35"/>
      <c r="G86" s="36"/>
      <c r="H86" s="37"/>
      <c r="I86" s="37"/>
      <c r="J86" s="38" t="s">
        <v>40</v>
      </c>
      <c r="K86" s="38"/>
      <c r="L86" s="38"/>
      <c r="M86" s="38"/>
      <c r="N86" s="38"/>
      <c r="O86" s="38"/>
      <c r="P86" s="39"/>
      <c r="Q86" s="40"/>
      <c r="R86" s="41"/>
      <c r="S86" s="41"/>
      <c r="T86" s="41"/>
      <c r="U86" s="41"/>
      <c r="V86" s="41"/>
      <c r="W86" s="42"/>
      <c r="X86" s="40"/>
      <c r="Y86" s="43"/>
      <c r="Z86" s="40"/>
      <c r="AA86" s="40"/>
      <c r="AB86" s="43"/>
      <c r="AC86" s="44"/>
      <c r="AD86" s="45"/>
      <c r="AE86" s="45"/>
      <c r="AF86" s="46"/>
      <c r="AG86" s="45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21"/>
      <c r="AV86" s="21"/>
      <c r="AW86" s="21"/>
      <c r="AX86" s="21"/>
      <c r="AY86" s="21"/>
      <c r="AZ86" s="21"/>
      <c r="BA86" s="21"/>
      <c r="BB86" s="21"/>
    </row>
    <row collapsed="false" customFormat="false" customHeight="true" hidden="false" ht="15.75" outlineLevel="0" r="87">
      <c r="A87" s="32"/>
      <c r="B87" s="32"/>
      <c r="C87" s="50" t="n">
        <v>1</v>
      </c>
      <c r="D87" s="51" t="s">
        <v>41</v>
      </c>
      <c r="E87" s="52" t="s">
        <v>42</v>
      </c>
      <c r="F87" s="53" t="s">
        <v>43</v>
      </c>
      <c r="G87" s="54" t="s">
        <v>105</v>
      </c>
      <c r="H87" s="55" t="n">
        <v>46023</v>
      </c>
      <c r="I87" s="55" t="n">
        <v>46037</v>
      </c>
      <c r="J87" s="56" t="n">
        <v>56</v>
      </c>
      <c r="K87" s="57"/>
      <c r="L87" s="57" t="n">
        <v>24</v>
      </c>
      <c r="M87" s="58" t="n">
        <f aca="false">N87/O87/8</f>
        <v>445.833333333333</v>
      </c>
      <c r="N87" s="59" t="n">
        <v>53500</v>
      </c>
      <c r="O87" s="60" t="n">
        <v>15</v>
      </c>
      <c r="P87" s="59" t="n">
        <f aca="false">(J87+K87+L87)*M87</f>
        <v>35666.6666666667</v>
      </c>
      <c r="Q87" s="61" t="n">
        <v>13600</v>
      </c>
      <c r="R87" s="62"/>
      <c r="S87" s="62"/>
      <c r="T87" s="62"/>
      <c r="U87" s="63" t="n">
        <f aca="false">7*120</f>
        <v>840</v>
      </c>
      <c r="V87" s="63" t="n">
        <v>10700</v>
      </c>
      <c r="W87" s="64"/>
      <c r="X87" s="65" t="n">
        <f aca="false">SUM(P87:W87)</f>
        <v>60806.6666666667</v>
      </c>
      <c r="Y87" s="66"/>
      <c r="Z87" s="67" t="n">
        <f aca="false">AG5</f>
        <v>23.6681818181842</v>
      </c>
      <c r="AA87" s="68" t="n">
        <f aca="false">X87+Y87+Z87</f>
        <v>60830.3348484848</v>
      </c>
      <c r="AB87" s="69"/>
      <c r="AC87" s="70" t="n">
        <v>11600.33</v>
      </c>
      <c r="AD87" s="71" t="n">
        <v>49000</v>
      </c>
      <c r="AE87" s="71" t="n">
        <f aca="false">AC87+AD87+AB87</f>
        <v>60600.33</v>
      </c>
      <c r="AF87" s="72" t="n">
        <f aca="false">AE87+AE88</f>
        <v>60600.33</v>
      </c>
      <c r="AG87" s="71" t="n">
        <f aca="false">AA87-AE87</f>
        <v>230.004848484845</v>
      </c>
      <c r="AH87" s="73"/>
      <c r="AI87" s="74" t="n">
        <f aca="false">AD87</f>
        <v>49000</v>
      </c>
      <c r="AJ87" s="75"/>
      <c r="AK87" s="75"/>
      <c r="AL87" s="75"/>
      <c r="AM87" s="76" t="n">
        <f aca="false">AC87</f>
        <v>11600.33</v>
      </c>
      <c r="AN87" s="76"/>
      <c r="AO87" s="74" t="n">
        <f aca="false">AD88</f>
        <v>0</v>
      </c>
      <c r="AP87" s="75"/>
      <c r="AQ87" s="75"/>
      <c r="AR87" s="75"/>
      <c r="AS87" s="76" t="n">
        <f aca="false">AC88</f>
        <v>0</v>
      </c>
      <c r="AT87" s="77"/>
      <c r="AU87" s="21"/>
      <c r="AV87" s="21"/>
      <c r="AW87" s="21"/>
      <c r="AX87" s="21"/>
      <c r="AY87" s="21"/>
      <c r="AZ87" s="21"/>
      <c r="BA87" s="21"/>
      <c r="BB87" s="21"/>
    </row>
    <row collapsed="false" customFormat="false" customHeight="true" hidden="false" ht="15.75" outlineLevel="0" r="88">
      <c r="A88" s="32"/>
      <c r="B88" s="32"/>
      <c r="C88" s="50"/>
      <c r="D88" s="51"/>
      <c r="E88" s="51"/>
      <c r="F88" s="78"/>
      <c r="G88" s="54" t="s">
        <v>105</v>
      </c>
      <c r="H88" s="79" t="n">
        <v>46037</v>
      </c>
      <c r="I88" s="79" t="n">
        <v>46053</v>
      </c>
      <c r="J88" s="80" t="n">
        <v>88</v>
      </c>
      <c r="K88" s="81"/>
      <c r="L88" s="82"/>
      <c r="M88" s="58" t="n">
        <f aca="false">N88/O88/8</f>
        <v>445.833333333333</v>
      </c>
      <c r="N88" s="83" t="n">
        <v>53500</v>
      </c>
      <c r="O88" s="60" t="n">
        <v>15</v>
      </c>
      <c r="P88" s="83" t="n">
        <f aca="false">(J88+K88+L88)*M88</f>
        <v>39233.3333333333</v>
      </c>
      <c r="Q88" s="84"/>
      <c r="R88" s="85"/>
      <c r="S88" s="85"/>
      <c r="T88" s="85"/>
      <c r="U88" s="86"/>
      <c r="V88" s="63" t="n">
        <v>10700</v>
      </c>
      <c r="W88" s="87"/>
      <c r="X88" s="88" t="n">
        <f aca="false">SUM(P88:W88)</f>
        <v>49933.3333333333</v>
      </c>
      <c r="Y88" s="88"/>
      <c r="Z88" s="89" t="n">
        <f aca="false">AG87</f>
        <v>230.004848484845</v>
      </c>
      <c r="AA88" s="90" t="n">
        <f aca="false">X88+Y88+Z88</f>
        <v>50163.3381818182</v>
      </c>
      <c r="AB88" s="91"/>
      <c r="AC88" s="70"/>
      <c r="AD88" s="92"/>
      <c r="AE88" s="92" t="n">
        <f aca="false">AC88+AD88+AB88</f>
        <v>0</v>
      </c>
      <c r="AF88" s="92"/>
      <c r="AG88" s="93" t="n">
        <f aca="false">AA88-AE88</f>
        <v>50163.3381818182</v>
      </c>
      <c r="AH88" s="14"/>
      <c r="AI88" s="74"/>
      <c r="AJ88" s="75"/>
      <c r="AK88" s="75"/>
      <c r="AL88" s="75"/>
      <c r="AM88" s="76"/>
      <c r="AN88" s="76"/>
      <c r="AO88" s="74"/>
      <c r="AP88" s="74"/>
      <c r="AQ88" s="74"/>
      <c r="AR88" s="75"/>
      <c r="AS88" s="76"/>
      <c r="AT88" s="77"/>
      <c r="AU88" s="21"/>
      <c r="AV88" s="21"/>
      <c r="AW88" s="21"/>
      <c r="AX88" s="21"/>
      <c r="AY88" s="21"/>
      <c r="AZ88" s="21"/>
      <c r="BA88" s="21"/>
      <c r="BB88" s="21"/>
    </row>
    <row collapsed="false" customFormat="false" customHeight="true" hidden="false" ht="15.75" outlineLevel="0" r="89">
      <c r="A89" s="32"/>
      <c r="B89" s="32"/>
      <c r="C89" s="50" t="n">
        <v>2</v>
      </c>
      <c r="D89" s="94" t="s">
        <v>45</v>
      </c>
      <c r="E89" s="95" t="s">
        <v>46</v>
      </c>
      <c r="F89" s="107" t="s">
        <v>49</v>
      </c>
      <c r="G89" s="54" t="s">
        <v>105</v>
      </c>
      <c r="H89" s="55" t="n">
        <v>46023</v>
      </c>
      <c r="I89" s="55" t="n">
        <v>46037</v>
      </c>
      <c r="J89" s="56" t="n">
        <v>56</v>
      </c>
      <c r="K89" s="57"/>
      <c r="L89" s="97" t="n">
        <v>24</v>
      </c>
      <c r="M89" s="58" t="n">
        <v>287</v>
      </c>
      <c r="N89" s="59"/>
      <c r="O89" s="60" t="n">
        <v>15</v>
      </c>
      <c r="P89" s="59" t="n">
        <f aca="false">(J89+K89+L89)*M89</f>
        <v>22960</v>
      </c>
      <c r="Q89" s="61" t="n">
        <v>8800</v>
      </c>
      <c r="R89" s="62"/>
      <c r="S89" s="62"/>
      <c r="T89" s="62"/>
      <c r="U89" s="63" t="n">
        <f aca="false">7*120</f>
        <v>840</v>
      </c>
      <c r="V89" s="63" t="n">
        <v>5350</v>
      </c>
      <c r="W89" s="64"/>
      <c r="X89" s="65" t="n">
        <f aca="false">P89+Q89+R89+S89+T89+U89+V89+W89</f>
        <v>37950</v>
      </c>
      <c r="Y89" s="66"/>
      <c r="Z89" s="67" t="n">
        <f aca="false">AG7</f>
        <v>169.860000000008</v>
      </c>
      <c r="AA89" s="90" t="n">
        <f aca="false">X89+Y89+Z89</f>
        <v>38119.86</v>
      </c>
      <c r="AB89" s="69"/>
      <c r="AC89" s="70" t="n">
        <v>6960</v>
      </c>
      <c r="AD89" s="71" t="n">
        <v>31000</v>
      </c>
      <c r="AE89" s="71" t="n">
        <f aca="false">AC89+AD89+AB89</f>
        <v>37960</v>
      </c>
      <c r="AF89" s="72" t="n">
        <f aca="false">AE89+AE90</f>
        <v>37960</v>
      </c>
      <c r="AG89" s="71" t="n">
        <f aca="false">AA89-AE89</f>
        <v>159.860000000008</v>
      </c>
      <c r="AH89" s="98"/>
      <c r="AI89" s="74" t="n">
        <f aca="false">AD89</f>
        <v>31000</v>
      </c>
      <c r="AJ89" s="75"/>
      <c r="AK89" s="99" t="n">
        <f aca="false">AC89</f>
        <v>6960</v>
      </c>
      <c r="AL89" s="99"/>
      <c r="AM89" s="75"/>
      <c r="AN89" s="75"/>
      <c r="AO89" s="74" t="n">
        <f aca="false">AD90</f>
        <v>0</v>
      </c>
      <c r="AP89" s="75"/>
      <c r="AQ89" s="99" t="n">
        <f aca="false">AC90</f>
        <v>0</v>
      </c>
      <c r="AR89" s="99"/>
      <c r="AS89" s="75"/>
      <c r="AT89" s="47"/>
      <c r="AU89" s="21"/>
      <c r="AV89" s="21"/>
      <c r="AW89" s="21"/>
      <c r="AX89" s="21"/>
      <c r="AY89" s="21"/>
      <c r="AZ89" s="21"/>
      <c r="BA89" s="21"/>
      <c r="BB89" s="21"/>
    </row>
    <row collapsed="false" customFormat="false" customHeight="true" hidden="false" ht="15.75" outlineLevel="0" r="90">
      <c r="A90" s="32"/>
      <c r="B90" s="32"/>
      <c r="C90" s="50"/>
      <c r="D90" s="94"/>
      <c r="E90" s="94"/>
      <c r="F90" s="100"/>
      <c r="G90" s="54" t="s">
        <v>105</v>
      </c>
      <c r="H90" s="79" t="n">
        <v>46037</v>
      </c>
      <c r="I90" s="79" t="n">
        <v>46053</v>
      </c>
      <c r="J90" s="80"/>
      <c r="K90" s="81"/>
      <c r="L90" s="101"/>
      <c r="M90" s="58" t="n">
        <v>287</v>
      </c>
      <c r="N90" s="83"/>
      <c r="O90" s="60" t="n">
        <v>15</v>
      </c>
      <c r="P90" s="83" t="n">
        <f aca="false">(J90+K90+L90)*M90</f>
        <v>0</v>
      </c>
      <c r="Q90" s="84"/>
      <c r="R90" s="85"/>
      <c r="S90" s="85"/>
      <c r="T90" s="85"/>
      <c r="U90" s="86"/>
      <c r="V90" s="63" t="n">
        <v>5350</v>
      </c>
      <c r="W90" s="87"/>
      <c r="X90" s="65" t="n">
        <f aca="false">P90+Q90+R90+S90+T90+U90+V90+W90</f>
        <v>5350</v>
      </c>
      <c r="Y90" s="88"/>
      <c r="Z90" s="89" t="n">
        <f aca="false">AG89</f>
        <v>159.860000000008</v>
      </c>
      <c r="AA90" s="68" t="n">
        <f aca="false">X90+Y90+Z90</f>
        <v>5509.86000000001</v>
      </c>
      <c r="AB90" s="102"/>
      <c r="AC90" s="103"/>
      <c r="AD90" s="92"/>
      <c r="AE90" s="92" t="n">
        <f aca="false">AC90+AD90+AB90</f>
        <v>0</v>
      </c>
      <c r="AF90" s="92"/>
      <c r="AG90" s="104" t="n">
        <f aca="false">AA90-AE90</f>
        <v>5509.86000000001</v>
      </c>
      <c r="AH90" s="105"/>
      <c r="AI90" s="74"/>
      <c r="AJ90" s="75"/>
      <c r="AK90" s="75"/>
      <c r="AL90" s="99"/>
      <c r="AM90" s="75"/>
      <c r="AN90" s="75"/>
      <c r="AO90" s="74"/>
      <c r="AP90" s="74"/>
      <c r="AQ90" s="74"/>
      <c r="AR90" s="99"/>
      <c r="AS90" s="75"/>
      <c r="AT90" s="47"/>
      <c r="AU90" s="21"/>
      <c r="AV90" s="21"/>
      <c r="AW90" s="21"/>
      <c r="AX90" s="21"/>
      <c r="AY90" s="21"/>
      <c r="AZ90" s="21"/>
      <c r="BA90" s="21"/>
      <c r="BB90" s="21"/>
    </row>
    <row collapsed="false" customFormat="false" customHeight="true" hidden="false" ht="15.75" outlineLevel="0" r="91">
      <c r="A91" s="32"/>
      <c r="B91" s="32"/>
      <c r="C91" s="50" t="n">
        <v>3</v>
      </c>
      <c r="D91" s="106" t="s">
        <v>48</v>
      </c>
      <c r="E91" s="95" t="s">
        <v>46</v>
      </c>
      <c r="F91" s="107" t="s">
        <v>49</v>
      </c>
      <c r="G91" s="54" t="s">
        <v>105</v>
      </c>
      <c r="H91" s="55" t="n">
        <v>46023</v>
      </c>
      <c r="I91" s="55" t="n">
        <v>46037</v>
      </c>
      <c r="J91" s="80" t="n">
        <v>48</v>
      </c>
      <c r="K91" s="81" t="n">
        <v>13</v>
      </c>
      <c r="L91" s="101" t="n">
        <v>16</v>
      </c>
      <c r="M91" s="108" t="n">
        <v>287</v>
      </c>
      <c r="N91" s="83"/>
      <c r="O91" s="60" t="n">
        <v>15</v>
      </c>
      <c r="P91" s="83" t="n">
        <f aca="false">(J91+K91+L91)*M91</f>
        <v>22099</v>
      </c>
      <c r="Q91" s="84" t="n">
        <v>24200</v>
      </c>
      <c r="R91" s="85"/>
      <c r="S91" s="85"/>
      <c r="T91" s="85"/>
      <c r="U91" s="85"/>
      <c r="V91" s="85"/>
      <c r="W91" s="87"/>
      <c r="X91" s="88" t="n">
        <f aca="false">SUM(P91:W91)</f>
        <v>46299</v>
      </c>
      <c r="Y91" s="109"/>
      <c r="Z91" s="67" t="n">
        <f aca="false">AG9</f>
        <v>199.5</v>
      </c>
      <c r="AA91" s="68" t="n">
        <f aca="false">X91+Y91+Z91</f>
        <v>46498.5</v>
      </c>
      <c r="AB91" s="91"/>
      <c r="AC91" s="111"/>
      <c r="AD91" s="112" t="n">
        <v>46500</v>
      </c>
      <c r="AE91" s="112" t="n">
        <f aca="false">AC91+AD91+AB91</f>
        <v>46500</v>
      </c>
      <c r="AF91" s="113" t="n">
        <f aca="false">AE91+AE92</f>
        <v>46500</v>
      </c>
      <c r="AG91" s="71" t="n">
        <f aca="false">AA91-AE91</f>
        <v>-1.5</v>
      </c>
      <c r="AH91" s="31"/>
      <c r="AI91" s="74" t="n">
        <f aca="false">AD91</f>
        <v>46500</v>
      </c>
      <c r="AJ91" s="75"/>
      <c r="AK91" s="75" t="n">
        <f aca="false">AC91</f>
        <v>0</v>
      </c>
      <c r="AL91" s="75"/>
      <c r="AM91" s="76" t="n">
        <f aca="false">AC91</f>
        <v>0</v>
      </c>
      <c r="AN91" s="75"/>
      <c r="AO91" s="74" t="n">
        <f aca="false">AD92</f>
        <v>0</v>
      </c>
      <c r="AP91" s="75"/>
      <c r="AQ91" s="75" t="n">
        <f aca="false">AC92</f>
        <v>0</v>
      </c>
      <c r="AR91" s="75"/>
      <c r="AS91" s="75"/>
      <c r="AT91" s="47"/>
      <c r="AU91" s="21"/>
      <c r="AV91" s="21"/>
      <c r="AW91" s="21"/>
      <c r="AX91" s="21"/>
      <c r="AY91" s="21"/>
      <c r="AZ91" s="21"/>
      <c r="BA91" s="21"/>
      <c r="BB91" s="21"/>
    </row>
    <row collapsed="false" customFormat="false" customHeight="true" hidden="false" ht="15.75" outlineLevel="0" r="92">
      <c r="A92" s="32"/>
      <c r="B92" s="32"/>
      <c r="C92" s="50"/>
      <c r="D92" s="106"/>
      <c r="E92" s="106"/>
      <c r="F92" s="100"/>
      <c r="G92" s="54" t="s">
        <v>105</v>
      </c>
      <c r="H92" s="79" t="n">
        <v>46037</v>
      </c>
      <c r="I92" s="79" t="n">
        <v>46053</v>
      </c>
      <c r="J92" s="80"/>
      <c r="K92" s="81"/>
      <c r="L92" s="101"/>
      <c r="M92" s="108" t="n">
        <v>287</v>
      </c>
      <c r="N92" s="83"/>
      <c r="O92" s="60" t="n">
        <v>15</v>
      </c>
      <c r="P92" s="114" t="n">
        <f aca="false">(J92+K92+L92)*M92</f>
        <v>0</v>
      </c>
      <c r="Q92" s="84"/>
      <c r="R92" s="85"/>
      <c r="S92" s="85"/>
      <c r="T92" s="85"/>
      <c r="U92" s="85"/>
      <c r="V92" s="85"/>
      <c r="W92" s="87"/>
      <c r="X92" s="115" t="n">
        <f aca="false">SUM(P92:W92)</f>
        <v>0</v>
      </c>
      <c r="Y92" s="88"/>
      <c r="Z92" s="89" t="n">
        <f aca="false">AG91</f>
        <v>-1.5</v>
      </c>
      <c r="AA92" s="68" t="n">
        <f aca="false">X92+Y92+Z92</f>
        <v>-1.5</v>
      </c>
      <c r="AB92" s="91"/>
      <c r="AC92" s="111"/>
      <c r="AD92" s="92"/>
      <c r="AE92" s="112" t="n">
        <f aca="false">AC92+AD92+AB92</f>
        <v>0</v>
      </c>
      <c r="AF92" s="113" t="n">
        <f aca="false">AC92+AB92+AD92</f>
        <v>0</v>
      </c>
      <c r="AG92" s="104" t="n">
        <f aca="false">AA92-AE92</f>
        <v>-1.5</v>
      </c>
      <c r="AH92" s="105"/>
      <c r="AI92" s="74"/>
      <c r="AJ92" s="75"/>
      <c r="AK92" s="75"/>
      <c r="AL92" s="75"/>
      <c r="AM92" s="76"/>
      <c r="AN92" s="75"/>
      <c r="AO92" s="74"/>
      <c r="AP92" s="74"/>
      <c r="AQ92" s="74"/>
      <c r="AR92" s="75"/>
      <c r="AS92" s="75"/>
      <c r="AT92" s="47"/>
      <c r="AU92" s="21"/>
      <c r="AV92" s="21"/>
      <c r="AW92" s="21"/>
      <c r="AX92" s="21"/>
      <c r="AY92" s="21"/>
      <c r="AZ92" s="21"/>
      <c r="BA92" s="21"/>
      <c r="BB92" s="21"/>
    </row>
    <row collapsed="false" customFormat="false" customHeight="true" hidden="false" ht="15.75" outlineLevel="0" r="93">
      <c r="A93" s="32"/>
      <c r="B93" s="32"/>
      <c r="C93" s="50" t="n">
        <v>4</v>
      </c>
      <c r="D93" s="106" t="s">
        <v>50</v>
      </c>
      <c r="E93" s="95" t="s">
        <v>46</v>
      </c>
      <c r="F93" s="107" t="s">
        <v>49</v>
      </c>
      <c r="G93" s="54" t="s">
        <v>105</v>
      </c>
      <c r="H93" s="55" t="n">
        <v>46023</v>
      </c>
      <c r="I93" s="55" t="n">
        <v>46037</v>
      </c>
      <c r="J93" s="80" t="n">
        <v>29</v>
      </c>
      <c r="K93" s="101"/>
      <c r="L93" s="101" t="n">
        <v>6.5</v>
      </c>
      <c r="M93" s="108" t="n">
        <v>287</v>
      </c>
      <c r="N93" s="83"/>
      <c r="O93" s="60" t="n">
        <v>15</v>
      </c>
      <c r="P93" s="83" t="n">
        <f aca="false">(J93+K93+L93)*M93</f>
        <v>10188.5</v>
      </c>
      <c r="Q93" s="84" t="n">
        <v>11000</v>
      </c>
      <c r="R93" s="85"/>
      <c r="S93" s="85"/>
      <c r="T93" s="85"/>
      <c r="U93" s="85"/>
      <c r="V93" s="85"/>
      <c r="W93" s="87"/>
      <c r="X93" s="88" t="n">
        <f aca="false">SUM(P93:W93)</f>
        <v>21188.5</v>
      </c>
      <c r="Y93" s="109"/>
      <c r="Z93" s="67" t="n">
        <f aca="false">AG11</f>
        <v>212.259999999995</v>
      </c>
      <c r="AA93" s="68" t="n">
        <f aca="false">X93+Y93+Z93</f>
        <v>21400.76</v>
      </c>
      <c r="AB93" s="102"/>
      <c r="AC93" s="111"/>
      <c r="AD93" s="112" t="n">
        <v>21500</v>
      </c>
      <c r="AE93" s="112" t="n">
        <f aca="false">AC93+AD93+AB93</f>
        <v>21500</v>
      </c>
      <c r="AF93" s="113" t="n">
        <f aca="false">AE93+AE94</f>
        <v>21500</v>
      </c>
      <c r="AG93" s="71" t="n">
        <f aca="false">AA93-AE93</f>
        <v>-99.2400000000052</v>
      </c>
      <c r="AH93" s="48"/>
      <c r="AI93" s="74" t="n">
        <f aca="false">AD93</f>
        <v>21500</v>
      </c>
      <c r="AJ93" s="75"/>
      <c r="AK93" s="75" t="n">
        <f aca="false">AC93</f>
        <v>0</v>
      </c>
      <c r="AL93" s="75"/>
      <c r="AM93" s="76" t="n">
        <f aca="false">AC93</f>
        <v>0</v>
      </c>
      <c r="AN93" s="75"/>
      <c r="AO93" s="74" t="n">
        <f aca="false">AD94</f>
        <v>0</v>
      </c>
      <c r="AP93" s="75"/>
      <c r="AQ93" s="75" t="n">
        <f aca="false">AC94</f>
        <v>0</v>
      </c>
      <c r="AR93" s="75"/>
      <c r="AS93" s="75"/>
      <c r="AT93" s="47"/>
      <c r="AU93" s="21"/>
      <c r="AV93" s="21"/>
      <c r="AW93" s="21"/>
      <c r="AX93" s="21"/>
      <c r="AY93" s="21"/>
      <c r="AZ93" s="21"/>
      <c r="BA93" s="21"/>
      <c r="BB93" s="21"/>
    </row>
    <row collapsed="false" customFormat="false" customHeight="true" hidden="false" ht="15.75" outlineLevel="0" r="94">
      <c r="A94" s="32"/>
      <c r="B94" s="32"/>
      <c r="C94" s="50"/>
      <c r="D94" s="106"/>
      <c r="E94" s="95"/>
      <c r="F94" s="100"/>
      <c r="G94" s="54" t="s">
        <v>105</v>
      </c>
      <c r="H94" s="79" t="n">
        <v>46037</v>
      </c>
      <c r="I94" s="79" t="n">
        <v>46053</v>
      </c>
      <c r="J94" s="80"/>
      <c r="K94" s="81"/>
      <c r="L94" s="101"/>
      <c r="M94" s="108" t="n">
        <v>287</v>
      </c>
      <c r="N94" s="83"/>
      <c r="O94" s="60" t="n">
        <v>15</v>
      </c>
      <c r="P94" s="83" t="n">
        <f aca="false">(J94+K94+L94)*M94</f>
        <v>0</v>
      </c>
      <c r="Q94" s="84"/>
      <c r="R94" s="85"/>
      <c r="S94" s="85"/>
      <c r="T94" s="85"/>
      <c r="U94" s="85"/>
      <c r="V94" s="85"/>
      <c r="W94" s="87"/>
      <c r="X94" s="88" t="n">
        <f aca="false">SUM(P94:W94)</f>
        <v>0</v>
      </c>
      <c r="Y94" s="88"/>
      <c r="Z94" s="89" t="n">
        <f aca="false">AG93</f>
        <v>-99.2400000000052</v>
      </c>
      <c r="AA94" s="68" t="n">
        <f aca="false">X94+Y94+Z94</f>
        <v>-99.2400000000052</v>
      </c>
      <c r="AB94" s="91"/>
      <c r="AC94" s="111"/>
      <c r="AD94" s="92"/>
      <c r="AE94" s="112" t="n">
        <f aca="false">AC94+AD94+AB94</f>
        <v>0</v>
      </c>
      <c r="AF94" s="113"/>
      <c r="AG94" s="104" t="n">
        <f aca="false">AA94-AE94</f>
        <v>-99.2400000000052</v>
      </c>
      <c r="AH94" s="105"/>
      <c r="AI94" s="74"/>
      <c r="AJ94" s="75"/>
      <c r="AK94" s="75"/>
      <c r="AL94" s="75"/>
      <c r="AM94" s="76"/>
      <c r="AN94" s="75"/>
      <c r="AO94" s="74"/>
      <c r="AP94" s="74"/>
      <c r="AQ94" s="74"/>
      <c r="AR94" s="75"/>
      <c r="AS94" s="75"/>
      <c r="AT94" s="47"/>
      <c r="AU94" s="21"/>
      <c r="AV94" s="21"/>
      <c r="AW94" s="21"/>
      <c r="AX94" s="21"/>
      <c r="AY94" s="21"/>
      <c r="AZ94" s="21"/>
      <c r="BA94" s="21"/>
      <c r="BB94" s="21"/>
    </row>
    <row collapsed="false" customFormat="false" customHeight="true" hidden="false" ht="15.75" outlineLevel="0" r="95">
      <c r="A95" s="32"/>
      <c r="B95" s="32"/>
      <c r="C95" s="50" t="n">
        <v>5</v>
      </c>
      <c r="D95" s="51" t="s">
        <v>51</v>
      </c>
      <c r="E95" s="52" t="s">
        <v>52</v>
      </c>
      <c r="F95" s="53" t="s">
        <v>49</v>
      </c>
      <c r="G95" s="54" t="s">
        <v>105</v>
      </c>
      <c r="H95" s="55" t="n">
        <v>46023</v>
      </c>
      <c r="I95" s="55" t="n">
        <v>46037</v>
      </c>
      <c r="J95" s="56" t="n">
        <v>32</v>
      </c>
      <c r="K95" s="57"/>
      <c r="L95" s="97"/>
      <c r="M95" s="58" t="n">
        <v>287</v>
      </c>
      <c r="N95" s="59" t="n">
        <v>75000</v>
      </c>
      <c r="O95" s="60" t="n">
        <v>15</v>
      </c>
      <c r="P95" s="83" t="n">
        <f aca="false">(N95/(O95*8))*J95</f>
        <v>20000</v>
      </c>
      <c r="Q95" s="61"/>
      <c r="R95" s="62"/>
      <c r="S95" s="62"/>
      <c r="T95" s="62"/>
      <c r="U95" s="62"/>
      <c r="V95" s="62"/>
      <c r="W95" s="64"/>
      <c r="X95" s="65" t="n">
        <f aca="false">SUM(P95:W95)</f>
        <v>20000</v>
      </c>
      <c r="Y95" s="66"/>
      <c r="Z95" s="67" t="n">
        <f aca="false">AG13</f>
        <v>194</v>
      </c>
      <c r="AA95" s="68" t="n">
        <f aca="false">X95+Y95+Z95</f>
        <v>20194</v>
      </c>
      <c r="AB95" s="69"/>
      <c r="AC95" s="70" t="n">
        <v>11600.33</v>
      </c>
      <c r="AD95" s="71" t="n">
        <v>8500</v>
      </c>
      <c r="AE95" s="71" t="n">
        <f aca="false">AC95+AD95+AB95</f>
        <v>20100.33</v>
      </c>
      <c r="AF95" s="72" t="n">
        <f aca="false">AE95+AE96</f>
        <v>20100.33</v>
      </c>
      <c r="AG95" s="71" t="n">
        <f aca="false">AA95-AE95</f>
        <v>93.6699999999983</v>
      </c>
      <c r="AH95" s="48"/>
      <c r="AI95" s="74" t="n">
        <f aca="false">AD95</f>
        <v>8500</v>
      </c>
      <c r="AJ95" s="75"/>
      <c r="AK95" s="75"/>
      <c r="AL95" s="75"/>
      <c r="AM95" s="76" t="n">
        <f aca="false">AC95</f>
        <v>11600.33</v>
      </c>
      <c r="AN95" s="75"/>
      <c r="AO95" s="74" t="n">
        <f aca="false">AD96</f>
        <v>0</v>
      </c>
      <c r="AP95" s="75"/>
      <c r="AQ95" s="75"/>
      <c r="AR95" s="75"/>
      <c r="AS95" s="76" t="n">
        <f aca="false">AC96</f>
        <v>0</v>
      </c>
      <c r="AT95" s="47"/>
      <c r="AU95" s="21"/>
      <c r="AV95" s="21"/>
      <c r="AW95" s="21"/>
      <c r="AX95" s="21"/>
      <c r="AY95" s="21"/>
      <c r="AZ95" s="21"/>
      <c r="BA95" s="21"/>
      <c r="BB95" s="21"/>
    </row>
    <row collapsed="false" customFormat="false" customHeight="true" hidden="false" ht="15.75" outlineLevel="0" r="96">
      <c r="A96" s="32"/>
      <c r="B96" s="32"/>
      <c r="C96" s="50"/>
      <c r="D96" s="51"/>
      <c r="E96" s="52"/>
      <c r="F96" s="78"/>
      <c r="G96" s="54" t="s">
        <v>105</v>
      </c>
      <c r="H96" s="79" t="n">
        <v>46037</v>
      </c>
      <c r="I96" s="79" t="n">
        <v>46053</v>
      </c>
      <c r="J96" s="80"/>
      <c r="K96" s="81"/>
      <c r="L96" s="101"/>
      <c r="M96" s="58" t="n">
        <v>287</v>
      </c>
      <c r="N96" s="83" t="n">
        <v>75000</v>
      </c>
      <c r="O96" s="60" t="n">
        <v>15</v>
      </c>
      <c r="P96" s="83" t="n">
        <f aca="false">(N96/(O96*8))*J96+L96*M96</f>
        <v>0</v>
      </c>
      <c r="Q96" s="84"/>
      <c r="R96" s="85"/>
      <c r="S96" s="85"/>
      <c r="T96" s="85"/>
      <c r="U96" s="85"/>
      <c r="V96" s="85"/>
      <c r="W96" s="87"/>
      <c r="X96" s="88" t="n">
        <f aca="false">SUM(P96:W96)</f>
        <v>0</v>
      </c>
      <c r="Y96" s="88"/>
      <c r="Z96" s="89" t="n">
        <f aca="false">AG95</f>
        <v>93.6699999999983</v>
      </c>
      <c r="AA96" s="68" t="n">
        <f aca="false">X96+Y96+Z96</f>
        <v>93.6699999999983</v>
      </c>
      <c r="AB96" s="91"/>
      <c r="AC96" s="103"/>
      <c r="AD96" s="92"/>
      <c r="AE96" s="92" t="n">
        <f aca="false">AC96+AD96+AB96</f>
        <v>0</v>
      </c>
      <c r="AF96" s="92"/>
      <c r="AG96" s="104" t="n">
        <f aca="false">AA96-AE96</f>
        <v>93.6699999999983</v>
      </c>
      <c r="AH96" s="48"/>
      <c r="AI96" s="74"/>
      <c r="AJ96" s="75"/>
      <c r="AK96" s="75"/>
      <c r="AL96" s="75"/>
      <c r="AM96" s="76"/>
      <c r="AN96" s="75"/>
      <c r="AO96" s="74"/>
      <c r="AP96" s="74"/>
      <c r="AQ96" s="75"/>
      <c r="AR96" s="75"/>
      <c r="AS96" s="76"/>
      <c r="AT96" s="47"/>
      <c r="AU96" s="21"/>
      <c r="AV96" s="21"/>
      <c r="AW96" s="21"/>
      <c r="AX96" s="21"/>
      <c r="AY96" s="21"/>
      <c r="AZ96" s="21"/>
      <c r="BA96" s="21"/>
      <c r="BB96" s="21"/>
    </row>
    <row collapsed="false" customFormat="false" customHeight="true" hidden="false" ht="15.75" outlineLevel="0" r="97">
      <c r="A97" s="32"/>
      <c r="B97" s="32"/>
      <c r="C97" s="50" t="n">
        <v>6</v>
      </c>
      <c r="D97" s="118" t="s">
        <v>54</v>
      </c>
      <c r="E97" s="119" t="s">
        <v>55</v>
      </c>
      <c r="F97" s="120" t="s">
        <v>49</v>
      </c>
      <c r="G97" s="54" t="s">
        <v>105</v>
      </c>
      <c r="H97" s="55" t="n">
        <v>46023</v>
      </c>
      <c r="I97" s="55" t="n">
        <v>46037</v>
      </c>
      <c r="J97" s="56" t="n">
        <v>40</v>
      </c>
      <c r="K97" s="97" t="n">
        <v>13</v>
      </c>
      <c r="L97" s="97" t="n">
        <v>32</v>
      </c>
      <c r="M97" s="108" t="n">
        <v>287</v>
      </c>
      <c r="N97" s="59"/>
      <c r="O97" s="60" t="n">
        <v>15</v>
      </c>
      <c r="P97" s="59" t="n">
        <f aca="false">(J97+K97+L97)*M97</f>
        <v>24395</v>
      </c>
      <c r="Q97" s="61" t="n">
        <v>28950</v>
      </c>
      <c r="R97" s="62"/>
      <c r="S97" s="62"/>
      <c r="T97" s="62"/>
      <c r="U97" s="62"/>
      <c r="V97" s="63" t="n">
        <v>5350</v>
      </c>
      <c r="W97" s="64"/>
      <c r="X97" s="65" t="n">
        <f aca="false">SUM(P97:W97)</f>
        <v>58695</v>
      </c>
      <c r="Y97" s="66"/>
      <c r="Z97" s="67" t="n">
        <f aca="false">AG15</f>
        <v>84.75</v>
      </c>
      <c r="AA97" s="68" t="n">
        <f aca="false">X97+Y97+Z97</f>
        <v>58779.75</v>
      </c>
      <c r="AB97" s="69"/>
      <c r="AC97" s="121"/>
      <c r="AD97" s="71" t="n">
        <v>58500</v>
      </c>
      <c r="AE97" s="71" t="n">
        <f aca="false">AC97+AD97+AB97</f>
        <v>58500</v>
      </c>
      <c r="AF97" s="72" t="n">
        <f aca="false">AE97+AE98</f>
        <v>58500</v>
      </c>
      <c r="AG97" s="71" t="n">
        <f aca="false">AA97-AE97</f>
        <v>279.75</v>
      </c>
      <c r="AH97" s="122"/>
      <c r="AI97" s="74" t="n">
        <f aca="false">AD97</f>
        <v>58500</v>
      </c>
      <c r="AJ97" s="75"/>
      <c r="AK97" s="75" t="n">
        <f aca="false">AC97</f>
        <v>0</v>
      </c>
      <c r="AL97" s="75"/>
      <c r="AM97" s="76" t="n">
        <f aca="false">AC97</f>
        <v>0</v>
      </c>
      <c r="AN97" s="75"/>
      <c r="AO97" s="74" t="n">
        <f aca="false">AD98</f>
        <v>0</v>
      </c>
      <c r="AP97" s="75"/>
      <c r="AQ97" s="75" t="n">
        <f aca="false">AC98</f>
        <v>0</v>
      </c>
      <c r="AR97" s="75"/>
      <c r="AS97" s="75"/>
      <c r="AT97" s="47"/>
      <c r="AU97" s="21"/>
      <c r="AV97" s="21"/>
      <c r="AW97" s="21"/>
      <c r="AX97" s="21"/>
      <c r="AY97" s="21"/>
      <c r="AZ97" s="21"/>
      <c r="BA97" s="21"/>
      <c r="BB97" s="21"/>
    </row>
    <row collapsed="false" customFormat="false" customHeight="true" hidden="false" ht="15.75" outlineLevel="0" r="98">
      <c r="A98" s="32"/>
      <c r="B98" s="32"/>
      <c r="C98" s="50"/>
      <c r="D98" s="118"/>
      <c r="E98" s="119"/>
      <c r="F98" s="123"/>
      <c r="G98" s="54" t="s">
        <v>105</v>
      </c>
      <c r="H98" s="79" t="n">
        <v>46037</v>
      </c>
      <c r="I98" s="79" t="n">
        <v>46053</v>
      </c>
      <c r="J98" s="80"/>
      <c r="K98" s="81"/>
      <c r="L98" s="101"/>
      <c r="M98" s="108" t="n">
        <v>287</v>
      </c>
      <c r="N98" s="83"/>
      <c r="O98" s="60" t="n">
        <v>15</v>
      </c>
      <c r="P98" s="83" t="n">
        <f aca="false">(J98+K98+L98)*M98</f>
        <v>0</v>
      </c>
      <c r="Q98" s="84"/>
      <c r="R98" s="85"/>
      <c r="S98" s="85"/>
      <c r="T98" s="85"/>
      <c r="U98" s="85"/>
      <c r="V98" s="63"/>
      <c r="W98" s="124"/>
      <c r="X98" s="88" t="n">
        <f aca="false">SUM(P98:W98)</f>
        <v>0</v>
      </c>
      <c r="Y98" s="88"/>
      <c r="Z98" s="89" t="n">
        <f aca="false">AG97</f>
        <v>279.75</v>
      </c>
      <c r="AA98" s="68" t="n">
        <f aca="false">X98+Y98+Z98</f>
        <v>279.75</v>
      </c>
      <c r="AB98" s="91"/>
      <c r="AC98" s="111"/>
      <c r="AD98" s="92"/>
      <c r="AE98" s="92" t="n">
        <f aca="false">AC98+AD98+AB98</f>
        <v>0</v>
      </c>
      <c r="AF98" s="92"/>
      <c r="AG98" s="104" t="n">
        <f aca="false">AA98-AE98</f>
        <v>279.75</v>
      </c>
      <c r="AH98" s="105"/>
      <c r="AI98" s="74"/>
      <c r="AJ98" s="75"/>
      <c r="AK98" s="75"/>
      <c r="AL98" s="75"/>
      <c r="AM98" s="76"/>
      <c r="AN98" s="75"/>
      <c r="AO98" s="74"/>
      <c r="AP98" s="74"/>
      <c r="AQ98" s="74"/>
      <c r="AR98" s="75"/>
      <c r="AS98" s="75"/>
      <c r="AT98" s="47"/>
      <c r="AU98" s="21"/>
      <c r="AV98" s="21"/>
      <c r="AW98" s="21"/>
      <c r="AX98" s="21"/>
      <c r="AY98" s="21"/>
      <c r="AZ98" s="21"/>
      <c r="BA98" s="21"/>
      <c r="BB98" s="21"/>
    </row>
    <row collapsed="false" customFormat="false" customHeight="true" hidden="false" ht="15.75" outlineLevel="0" r="99">
      <c r="A99" s="32"/>
      <c r="B99" s="32"/>
      <c r="C99" s="50" t="n">
        <v>7</v>
      </c>
      <c r="D99" s="125" t="s">
        <v>56</v>
      </c>
      <c r="E99" s="119" t="s">
        <v>55</v>
      </c>
      <c r="F99" s="126" t="s">
        <v>49</v>
      </c>
      <c r="G99" s="54" t="s">
        <v>105</v>
      </c>
      <c r="H99" s="55" t="n">
        <v>46023</v>
      </c>
      <c r="I99" s="55" t="n">
        <v>46037</v>
      </c>
      <c r="J99" s="80" t="n">
        <v>24</v>
      </c>
      <c r="K99" s="101" t="n">
        <v>-4.5</v>
      </c>
      <c r="L99" s="101" t="n">
        <v>24</v>
      </c>
      <c r="M99" s="108" t="n">
        <v>287</v>
      </c>
      <c r="N99" s="83"/>
      <c r="O99" s="60" t="n">
        <v>15</v>
      </c>
      <c r="P99" s="83" t="n">
        <f aca="false">(J99+K99+L99)*M99</f>
        <v>12484.5</v>
      </c>
      <c r="Q99" s="84" t="n">
        <v>26150</v>
      </c>
      <c r="R99" s="85"/>
      <c r="S99" s="85"/>
      <c r="T99" s="85"/>
      <c r="U99" s="85"/>
      <c r="V99" s="86" t="n">
        <v>2140</v>
      </c>
      <c r="W99" s="87"/>
      <c r="X99" s="88" t="n">
        <f aca="false">SUM(P99:W99)</f>
        <v>40774.5</v>
      </c>
      <c r="Y99" s="109"/>
      <c r="Z99" s="67" t="n">
        <f aca="false">AG17</f>
        <v>-98</v>
      </c>
      <c r="AA99" s="90" t="n">
        <f aca="false">X99+Y99+Z99</f>
        <v>40676.5</v>
      </c>
      <c r="AB99" s="91"/>
      <c r="AC99" s="111"/>
      <c r="AD99" s="112" t="n">
        <v>40500</v>
      </c>
      <c r="AE99" s="112" t="n">
        <f aca="false">AC99+AD99+AB99</f>
        <v>40500</v>
      </c>
      <c r="AF99" s="113" t="n">
        <f aca="false">AE99+AE100</f>
        <v>40500</v>
      </c>
      <c r="AG99" s="71" t="n">
        <f aca="false">AA99-AE99</f>
        <v>176.5</v>
      </c>
      <c r="AH99" s="48"/>
      <c r="AI99" s="74" t="n">
        <f aca="false">AD99</f>
        <v>40500</v>
      </c>
      <c r="AJ99" s="75"/>
      <c r="AK99" s="75" t="n">
        <f aca="false">AC99</f>
        <v>0</v>
      </c>
      <c r="AL99" s="75"/>
      <c r="AM99" s="76" t="n">
        <f aca="false">AC99</f>
        <v>0</v>
      </c>
      <c r="AN99" s="75"/>
      <c r="AO99" s="74" t="n">
        <f aca="false">AD100</f>
        <v>0</v>
      </c>
      <c r="AP99" s="75"/>
      <c r="AQ99" s="75" t="n">
        <f aca="false">AC100</f>
        <v>0</v>
      </c>
      <c r="AR99" s="75"/>
      <c r="AS99" s="75"/>
      <c r="AT99" s="47"/>
      <c r="AU99" s="21"/>
      <c r="AV99" s="21"/>
      <c r="AW99" s="21"/>
      <c r="AX99" s="21"/>
      <c r="AY99" s="21"/>
      <c r="AZ99" s="21"/>
      <c r="BA99" s="21"/>
      <c r="BB99" s="21"/>
    </row>
    <row collapsed="false" customFormat="false" customHeight="true" hidden="false" ht="15.75" outlineLevel="0" r="100">
      <c r="A100" s="32"/>
      <c r="B100" s="32"/>
      <c r="C100" s="50"/>
      <c r="D100" s="125"/>
      <c r="E100" s="119"/>
      <c r="F100" s="123"/>
      <c r="G100" s="54" t="s">
        <v>105</v>
      </c>
      <c r="H100" s="79" t="n">
        <v>46037</v>
      </c>
      <c r="I100" s="79" t="n">
        <v>46053</v>
      </c>
      <c r="J100" s="80"/>
      <c r="K100" s="81"/>
      <c r="L100" s="101"/>
      <c r="M100" s="108" t="n">
        <v>287</v>
      </c>
      <c r="N100" s="83"/>
      <c r="O100" s="60" t="n">
        <v>15</v>
      </c>
      <c r="P100" s="114" t="n">
        <f aca="false">(J100+K100+L100)*M100</f>
        <v>0</v>
      </c>
      <c r="Q100" s="84"/>
      <c r="R100" s="85"/>
      <c r="S100" s="85"/>
      <c r="T100" s="85"/>
      <c r="U100" s="85"/>
      <c r="V100" s="86"/>
      <c r="W100" s="87"/>
      <c r="X100" s="115" t="n">
        <f aca="false">SUM(P100:W100)</f>
        <v>0</v>
      </c>
      <c r="Y100" s="88"/>
      <c r="Z100" s="89" t="n">
        <f aca="false">AG99</f>
        <v>176.5</v>
      </c>
      <c r="AA100" s="68" t="n">
        <f aca="false">X100+Y100+Z100</f>
        <v>176.5</v>
      </c>
      <c r="AB100" s="91"/>
      <c r="AC100" s="111"/>
      <c r="AD100" s="92"/>
      <c r="AE100" s="112" t="n">
        <f aca="false">AC100+AD100+AB100</f>
        <v>0</v>
      </c>
      <c r="AG100" s="104" t="n">
        <f aca="false">AA100-AE100</f>
        <v>176.5</v>
      </c>
      <c r="AH100" s="105"/>
      <c r="AI100" s="74"/>
      <c r="AJ100" s="75"/>
      <c r="AK100" s="75"/>
      <c r="AL100" s="75"/>
      <c r="AM100" s="76"/>
      <c r="AN100" s="75"/>
      <c r="AO100" s="74"/>
      <c r="AP100" s="74"/>
      <c r="AQ100" s="74"/>
      <c r="AR100" s="75"/>
      <c r="AS100" s="75"/>
      <c r="AT100" s="47"/>
      <c r="AU100" s="21"/>
      <c r="AV100" s="21"/>
      <c r="AW100" s="21"/>
      <c r="AX100" s="21"/>
      <c r="AY100" s="21"/>
      <c r="AZ100" s="21"/>
      <c r="BA100" s="21"/>
      <c r="BB100" s="21"/>
    </row>
    <row collapsed="false" customFormat="false" customHeight="true" hidden="false" ht="15.75" outlineLevel="0" r="101">
      <c r="A101" s="32"/>
      <c r="B101" s="32"/>
      <c r="C101" s="50" t="n">
        <v>8</v>
      </c>
      <c r="D101" s="118" t="s">
        <v>57</v>
      </c>
      <c r="E101" s="119" t="s">
        <v>55</v>
      </c>
      <c r="F101" s="120" t="s">
        <v>49</v>
      </c>
      <c r="G101" s="54" t="s">
        <v>105</v>
      </c>
      <c r="H101" s="55" t="n">
        <v>46023</v>
      </c>
      <c r="I101" s="55" t="n">
        <v>46037</v>
      </c>
      <c r="J101" s="56"/>
      <c r="K101" s="57"/>
      <c r="L101" s="97"/>
      <c r="M101" s="58" t="n">
        <v>287</v>
      </c>
      <c r="N101" s="59"/>
      <c r="O101" s="60" t="n">
        <v>15</v>
      </c>
      <c r="P101" s="59" t="n">
        <f aca="false">(J101+K101+L101)*M101</f>
        <v>0</v>
      </c>
      <c r="Q101" s="61"/>
      <c r="R101" s="62"/>
      <c r="S101" s="62"/>
      <c r="T101" s="62"/>
      <c r="U101" s="62"/>
      <c r="V101" s="62"/>
      <c r="W101" s="64"/>
      <c r="X101" s="65" t="n">
        <f aca="false">SUM(P101:W101)</f>
        <v>0</v>
      </c>
      <c r="Y101" s="66"/>
      <c r="Z101" s="67" t="n">
        <f aca="false">AG19</f>
        <v>18</v>
      </c>
      <c r="AA101" s="68" t="n">
        <f aca="false">X101+Y101+Z101</f>
        <v>18</v>
      </c>
      <c r="AB101" s="69"/>
      <c r="AC101" s="70"/>
      <c r="AD101" s="71"/>
      <c r="AE101" s="71" t="n">
        <f aca="false">AC101+AD101+AB101</f>
        <v>0</v>
      </c>
      <c r="AF101" s="72" t="n">
        <f aca="false">AE101+AE102</f>
        <v>0</v>
      </c>
      <c r="AG101" s="71" t="n">
        <f aca="false">AA101-AE101</f>
        <v>18</v>
      </c>
      <c r="AH101" s="122"/>
      <c r="AI101" s="74" t="n">
        <f aca="false">AD101</f>
        <v>0</v>
      </c>
      <c r="AJ101" s="75"/>
      <c r="AK101" s="99" t="n">
        <f aca="false">AC101</f>
        <v>0</v>
      </c>
      <c r="AL101" s="75"/>
      <c r="AM101" s="75"/>
      <c r="AN101" s="75"/>
      <c r="AO101" s="74" t="n">
        <f aca="false">AD102</f>
        <v>0</v>
      </c>
      <c r="AP101" s="127"/>
      <c r="AQ101" s="99" t="n">
        <f aca="false">AC102</f>
        <v>0</v>
      </c>
      <c r="AR101" s="75"/>
      <c r="AS101" s="75"/>
      <c r="AT101" s="128"/>
      <c r="AU101" s="21"/>
      <c r="AV101" s="21"/>
      <c r="AW101" s="21"/>
      <c r="AX101" s="21"/>
      <c r="AY101" s="21"/>
      <c r="AZ101" s="21"/>
      <c r="BA101" s="21"/>
      <c r="BB101" s="21"/>
    </row>
    <row collapsed="false" customFormat="false" customHeight="true" hidden="false" ht="15.75" outlineLevel="0" r="102">
      <c r="A102" s="32"/>
      <c r="B102" s="32"/>
      <c r="C102" s="50"/>
      <c r="D102" s="118"/>
      <c r="E102" s="119"/>
      <c r="F102" s="123"/>
      <c r="G102" s="54" t="s">
        <v>105</v>
      </c>
      <c r="H102" s="79" t="n">
        <v>46037</v>
      </c>
      <c r="I102" s="79" t="n">
        <v>46053</v>
      </c>
      <c r="J102" s="80"/>
      <c r="K102" s="81"/>
      <c r="L102" s="101"/>
      <c r="M102" s="58" t="n">
        <v>287</v>
      </c>
      <c r="N102" s="83"/>
      <c r="O102" s="60" t="n">
        <v>15</v>
      </c>
      <c r="P102" s="83" t="n">
        <f aca="false">(J102+K102+L102)*M102</f>
        <v>0</v>
      </c>
      <c r="Q102" s="84"/>
      <c r="R102" s="85"/>
      <c r="S102" s="85"/>
      <c r="T102" s="85"/>
      <c r="U102" s="85"/>
      <c r="V102" s="85"/>
      <c r="W102" s="87"/>
      <c r="X102" s="88" t="n">
        <f aca="false">SUM(P102:W102)</f>
        <v>0</v>
      </c>
      <c r="Y102" s="88"/>
      <c r="Z102" s="89" t="n">
        <f aca="false">AG101</f>
        <v>18</v>
      </c>
      <c r="AA102" s="68" t="n">
        <f aca="false">X102+Y102+Z102</f>
        <v>18</v>
      </c>
      <c r="AB102" s="91"/>
      <c r="AC102" s="103"/>
      <c r="AD102" s="92"/>
      <c r="AE102" s="92" t="n">
        <f aca="false">AC102+AD102+AB102</f>
        <v>0</v>
      </c>
      <c r="AF102" s="92"/>
      <c r="AG102" s="71" t="n">
        <f aca="false">AA102-AE102</f>
        <v>18</v>
      </c>
      <c r="AH102" s="105"/>
      <c r="AI102" s="74"/>
      <c r="AJ102" s="75"/>
      <c r="AK102" s="75"/>
      <c r="AL102" s="75"/>
      <c r="AM102" s="75"/>
      <c r="AN102" s="75"/>
      <c r="AO102" s="74"/>
      <c r="AP102" s="74"/>
      <c r="AQ102" s="74"/>
      <c r="AR102" s="75"/>
      <c r="AS102" s="75"/>
      <c r="AT102" s="129"/>
      <c r="AU102" s="21"/>
      <c r="AV102" s="21"/>
      <c r="AW102" s="21"/>
      <c r="AX102" s="21"/>
      <c r="AY102" s="21"/>
      <c r="AZ102" s="21"/>
      <c r="BA102" s="21"/>
      <c r="BB102" s="21"/>
    </row>
    <row collapsed="false" customFormat="false" customHeight="true" hidden="false" ht="15.75" outlineLevel="0" r="103">
      <c r="A103" s="32"/>
      <c r="B103" s="32"/>
      <c r="C103" s="50" t="n">
        <v>9</v>
      </c>
      <c r="D103" s="118" t="s">
        <v>58</v>
      </c>
      <c r="E103" s="119" t="s">
        <v>55</v>
      </c>
      <c r="F103" s="120" t="s">
        <v>49</v>
      </c>
      <c r="G103" s="54" t="s">
        <v>105</v>
      </c>
      <c r="H103" s="55" t="n">
        <v>46023</v>
      </c>
      <c r="I103" s="55" t="n">
        <v>46037</v>
      </c>
      <c r="J103" s="56" t="n">
        <v>56</v>
      </c>
      <c r="K103" s="97" t="n">
        <v>1.5</v>
      </c>
      <c r="L103" s="97" t="n">
        <v>32</v>
      </c>
      <c r="M103" s="108" t="n">
        <v>287</v>
      </c>
      <c r="N103" s="59"/>
      <c r="O103" s="60" t="n">
        <v>15</v>
      </c>
      <c r="P103" s="59" t="n">
        <f aca="false">(J103+K103+L103)*M103</f>
        <v>25686.5</v>
      </c>
      <c r="Q103" s="61" t="n">
        <v>26900</v>
      </c>
      <c r="R103" s="62"/>
      <c r="S103" s="62"/>
      <c r="T103" s="62"/>
      <c r="U103" s="62"/>
      <c r="V103" s="62"/>
      <c r="W103" s="64"/>
      <c r="X103" s="65" t="n">
        <f aca="false">SUM(P103:W103)</f>
        <v>52586.5</v>
      </c>
      <c r="Y103" s="66"/>
      <c r="Z103" s="67" t="n">
        <f aca="false">AG21</f>
        <v>-91</v>
      </c>
      <c r="AA103" s="68" t="n">
        <f aca="false">X103+Y103+Z103</f>
        <v>52495.5</v>
      </c>
      <c r="AB103" s="69"/>
      <c r="AC103" s="70" t="n">
        <v>6960</v>
      </c>
      <c r="AD103" s="71" t="n">
        <v>45500</v>
      </c>
      <c r="AE103" s="71" t="n">
        <f aca="false">AC103+AD103+AB103</f>
        <v>52460</v>
      </c>
      <c r="AF103" s="72" t="n">
        <f aca="false">AE103+AE104</f>
        <v>52460</v>
      </c>
      <c r="AG103" s="71" t="n">
        <f aca="false">AA103-AE103</f>
        <v>35.5</v>
      </c>
      <c r="AH103" s="122"/>
      <c r="AI103" s="74" t="n">
        <f aca="false">AD103</f>
        <v>45500</v>
      </c>
      <c r="AJ103" s="75"/>
      <c r="AK103" s="99" t="n">
        <f aca="false">AC103</f>
        <v>6960</v>
      </c>
      <c r="AL103" s="75"/>
      <c r="AM103" s="75"/>
      <c r="AN103" s="75"/>
      <c r="AO103" s="74" t="n">
        <f aca="false">AD104</f>
        <v>0</v>
      </c>
      <c r="AP103" s="75"/>
      <c r="AQ103" s="130" t="n">
        <f aca="false">AC104</f>
        <v>0</v>
      </c>
      <c r="AR103" s="75"/>
      <c r="AS103" s="75"/>
      <c r="AT103" s="47"/>
      <c r="AU103" s="21"/>
      <c r="AV103" s="21"/>
      <c r="AW103" s="21"/>
      <c r="AX103" s="21"/>
      <c r="AY103" s="21"/>
      <c r="AZ103" s="21"/>
      <c r="BA103" s="21"/>
      <c r="BB103" s="21"/>
    </row>
    <row collapsed="false" customFormat="false" customHeight="true" hidden="false" ht="15.75" outlineLevel="0" r="104">
      <c r="A104" s="32"/>
      <c r="B104" s="32"/>
      <c r="C104" s="50"/>
      <c r="D104" s="118"/>
      <c r="E104" s="119"/>
      <c r="F104" s="123"/>
      <c r="G104" s="54" t="s">
        <v>105</v>
      </c>
      <c r="H104" s="79" t="n">
        <v>46037</v>
      </c>
      <c r="I104" s="79" t="n">
        <v>46053</v>
      </c>
      <c r="J104" s="80"/>
      <c r="K104" s="81"/>
      <c r="L104" s="101"/>
      <c r="M104" s="108" t="n">
        <v>287</v>
      </c>
      <c r="N104" s="83"/>
      <c r="O104" s="60" t="n">
        <v>15</v>
      </c>
      <c r="P104" s="83" t="n">
        <f aca="false">(J104+K104+L104)*M104</f>
        <v>0</v>
      </c>
      <c r="Q104" s="84"/>
      <c r="R104" s="85"/>
      <c r="S104" s="85"/>
      <c r="T104" s="85"/>
      <c r="U104" s="85"/>
      <c r="V104" s="85"/>
      <c r="W104" s="87"/>
      <c r="X104" s="88" t="n">
        <f aca="false">SUM(P104:W104)</f>
        <v>0</v>
      </c>
      <c r="Y104" s="88"/>
      <c r="Z104" s="89" t="n">
        <f aca="false">AG103</f>
        <v>35.5</v>
      </c>
      <c r="AA104" s="68" t="n">
        <f aca="false">X104+Y104+Z104</f>
        <v>35.5</v>
      </c>
      <c r="AB104" s="91"/>
      <c r="AC104" s="103"/>
      <c r="AD104" s="92"/>
      <c r="AE104" s="92" t="n">
        <f aca="false">AC104+AD104+AB104</f>
        <v>0</v>
      </c>
      <c r="AF104" s="92"/>
      <c r="AG104" s="104" t="n">
        <f aca="false">AA104-AE104</f>
        <v>35.5</v>
      </c>
      <c r="AH104" s="105"/>
      <c r="AI104" s="74"/>
      <c r="AJ104" s="75"/>
      <c r="AK104" s="75"/>
      <c r="AL104" s="75"/>
      <c r="AM104" s="75"/>
      <c r="AN104" s="75"/>
      <c r="AO104" s="74"/>
      <c r="AP104" s="74"/>
      <c r="AQ104" s="74"/>
      <c r="AR104" s="75"/>
      <c r="AS104" s="75"/>
      <c r="AT104" s="47"/>
      <c r="AU104" s="21"/>
      <c r="AV104" s="21"/>
      <c r="AW104" s="21"/>
      <c r="AX104" s="21"/>
      <c r="AY104" s="21"/>
      <c r="AZ104" s="21"/>
      <c r="BA104" s="21"/>
      <c r="BB104" s="21"/>
    </row>
    <row collapsed="false" customFormat="false" customHeight="true" hidden="false" ht="15.75" outlineLevel="0" r="105">
      <c r="A105" s="32"/>
      <c r="B105" s="32"/>
      <c r="C105" s="50" t="n">
        <v>10</v>
      </c>
      <c r="D105" s="118" t="s">
        <v>59</v>
      </c>
      <c r="E105" s="119" t="s">
        <v>55</v>
      </c>
      <c r="F105" s="120" t="s">
        <v>49</v>
      </c>
      <c r="G105" s="54" t="s">
        <v>105</v>
      </c>
      <c r="H105" s="55" t="n">
        <v>46023</v>
      </c>
      <c r="I105" s="55" t="n">
        <v>46037</v>
      </c>
      <c r="J105" s="56"/>
      <c r="K105" s="97"/>
      <c r="L105" s="97"/>
      <c r="M105" s="58" t="n">
        <v>287</v>
      </c>
      <c r="N105" s="59"/>
      <c r="O105" s="60" t="n">
        <v>15</v>
      </c>
      <c r="P105" s="59" t="n">
        <f aca="false">(J105+K105+L105)*M105</f>
        <v>0</v>
      </c>
      <c r="Q105" s="61"/>
      <c r="R105" s="62"/>
      <c r="S105" s="62"/>
      <c r="T105" s="62"/>
      <c r="U105" s="62"/>
      <c r="V105" s="62"/>
      <c r="W105" s="64"/>
      <c r="X105" s="65" t="n">
        <f aca="false">SUM(P105:W105)</f>
        <v>0</v>
      </c>
      <c r="Y105" s="66"/>
      <c r="Z105" s="67" t="n">
        <f aca="false">AG23</f>
        <v>93</v>
      </c>
      <c r="AA105" s="68" t="n">
        <f aca="false">X105+Y105+Z105</f>
        <v>93</v>
      </c>
      <c r="AB105" s="69"/>
      <c r="AC105" s="121"/>
      <c r="AD105" s="71"/>
      <c r="AE105" s="92" t="n">
        <f aca="false">AC105+AD105+AB105</f>
        <v>0</v>
      </c>
      <c r="AF105" s="72" t="n">
        <f aca="false">AE105+AE106</f>
        <v>0</v>
      </c>
      <c r="AG105" s="71" t="n">
        <f aca="false">AA105-AE105</f>
        <v>93</v>
      </c>
      <c r="AH105" s="48"/>
      <c r="AI105" s="74" t="n">
        <f aca="false">AD105</f>
        <v>0</v>
      </c>
      <c r="AJ105" s="75"/>
      <c r="AK105" s="75"/>
      <c r="AL105" s="75"/>
      <c r="AM105" s="76" t="n">
        <f aca="false">AC105</f>
        <v>0</v>
      </c>
      <c r="AN105" s="75"/>
      <c r="AO105" s="74" t="n">
        <f aca="false">AD106</f>
        <v>0</v>
      </c>
      <c r="AP105" s="75"/>
      <c r="AQ105" s="75"/>
      <c r="AR105" s="75"/>
      <c r="AS105" s="75"/>
      <c r="AT105" s="47"/>
      <c r="AU105" s="21"/>
      <c r="AV105" s="21"/>
      <c r="AW105" s="21"/>
      <c r="AX105" s="21"/>
      <c r="AY105" s="21"/>
      <c r="AZ105" s="21"/>
      <c r="BA105" s="21"/>
      <c r="BB105" s="21"/>
    </row>
    <row collapsed="false" customFormat="false" customHeight="true" hidden="false" ht="15.75" outlineLevel="0" r="106">
      <c r="A106" s="32"/>
      <c r="B106" s="32"/>
      <c r="C106" s="50"/>
      <c r="D106" s="118"/>
      <c r="E106" s="119"/>
      <c r="F106" s="123"/>
      <c r="G106" s="54" t="s">
        <v>105</v>
      </c>
      <c r="H106" s="79" t="n">
        <v>46037</v>
      </c>
      <c r="I106" s="79" t="n">
        <v>46053</v>
      </c>
      <c r="J106" s="80"/>
      <c r="K106" s="81"/>
      <c r="L106" s="101"/>
      <c r="M106" s="58" t="n">
        <v>287</v>
      </c>
      <c r="N106" s="83"/>
      <c r="O106" s="60" t="n">
        <v>15</v>
      </c>
      <c r="P106" s="59" t="n">
        <f aca="false">(J106+K106+L106)*M106</f>
        <v>0</v>
      </c>
      <c r="Q106" s="84"/>
      <c r="R106" s="85"/>
      <c r="S106" s="85"/>
      <c r="T106" s="85"/>
      <c r="U106" s="85"/>
      <c r="V106" s="85"/>
      <c r="W106" s="87"/>
      <c r="X106" s="65" t="n">
        <f aca="false">SUM(P106:W106)</f>
        <v>0</v>
      </c>
      <c r="Y106" s="88"/>
      <c r="Z106" s="89" t="n">
        <f aca="false">AG105</f>
        <v>93</v>
      </c>
      <c r="AA106" s="68" t="n">
        <f aca="false">X106+Y106+Z106</f>
        <v>93</v>
      </c>
      <c r="AB106" s="91"/>
      <c r="AC106" s="111"/>
      <c r="AD106" s="92"/>
      <c r="AE106" s="92" t="n">
        <f aca="false">AC106+AD106+AB106</f>
        <v>0</v>
      </c>
      <c r="AF106" s="92"/>
      <c r="AG106" s="71" t="n">
        <f aca="false">AA106-AE106</f>
        <v>93</v>
      </c>
      <c r="AH106" s="48"/>
      <c r="AI106" s="74"/>
      <c r="AJ106" s="75"/>
      <c r="AK106" s="75"/>
      <c r="AL106" s="75"/>
      <c r="AM106" s="76"/>
      <c r="AN106" s="75"/>
      <c r="AO106" s="74"/>
      <c r="AP106" s="75"/>
      <c r="AQ106" s="75"/>
      <c r="AR106" s="75"/>
      <c r="AS106" s="75"/>
      <c r="AT106" s="47"/>
      <c r="AU106" s="21"/>
      <c r="AV106" s="21"/>
      <c r="AW106" s="21"/>
      <c r="AX106" s="21"/>
      <c r="AY106" s="21"/>
      <c r="AZ106" s="21"/>
      <c r="BA106" s="21"/>
      <c r="BB106" s="21"/>
    </row>
    <row collapsed="false" customFormat="false" customHeight="true" hidden="false" ht="15.75" outlineLevel="0" r="107">
      <c r="A107" s="32"/>
      <c r="B107" s="32"/>
      <c r="C107" s="50" t="n">
        <v>11</v>
      </c>
      <c r="D107" s="94" t="s">
        <v>60</v>
      </c>
      <c r="E107" s="95" t="s">
        <v>46</v>
      </c>
      <c r="F107" s="96" t="s">
        <v>49</v>
      </c>
      <c r="G107" s="54" t="s">
        <v>105</v>
      </c>
      <c r="H107" s="55" t="n">
        <v>46023</v>
      </c>
      <c r="I107" s="55" t="n">
        <v>46037</v>
      </c>
      <c r="J107" s="56" t="n">
        <v>47</v>
      </c>
      <c r="K107" s="57"/>
      <c r="L107" s="97" t="n">
        <v>16</v>
      </c>
      <c r="M107" s="108" t="n">
        <v>287</v>
      </c>
      <c r="N107" s="59"/>
      <c r="O107" s="60" t="n">
        <v>15</v>
      </c>
      <c r="P107" s="59" t="n">
        <f aca="false">(J107+K107+L107)*M107</f>
        <v>18081</v>
      </c>
      <c r="Q107" s="61" t="n">
        <v>20900</v>
      </c>
      <c r="R107" s="62"/>
      <c r="S107" s="62"/>
      <c r="T107" s="62"/>
      <c r="U107" s="62"/>
      <c r="V107" s="62"/>
      <c r="W107" s="64"/>
      <c r="X107" s="65" t="n">
        <f aca="false">SUM(P107:W107)</f>
        <v>38981</v>
      </c>
      <c r="Y107" s="66"/>
      <c r="Z107" s="67" t="n">
        <f aca="false">AG25</f>
        <v>101</v>
      </c>
      <c r="AA107" s="68" t="n">
        <f aca="false">X107+Y107+Z107</f>
        <v>39082</v>
      </c>
      <c r="AB107" s="69"/>
      <c r="AC107" s="70" t="n">
        <v>11600.33</v>
      </c>
      <c r="AD107" s="71" t="n">
        <v>27500</v>
      </c>
      <c r="AE107" s="71" t="n">
        <f aca="false">AC107+AD107+AB107</f>
        <v>39100.33</v>
      </c>
      <c r="AF107" s="72" t="n">
        <f aca="false">AE107+AE108</f>
        <v>39100.33</v>
      </c>
      <c r="AG107" s="71" t="n">
        <f aca="false">AA107-AE107</f>
        <v>-18.3300000000017</v>
      </c>
      <c r="AH107" s="48"/>
      <c r="AI107" s="74" t="n">
        <f aca="false">AD107</f>
        <v>27500</v>
      </c>
      <c r="AJ107" s="75"/>
      <c r="AK107" s="75"/>
      <c r="AL107" s="75"/>
      <c r="AM107" s="76" t="n">
        <f aca="false">AC107</f>
        <v>11600.33</v>
      </c>
      <c r="AN107" s="75"/>
      <c r="AO107" s="74" t="n">
        <f aca="false">AD108</f>
        <v>0</v>
      </c>
      <c r="AP107" s="75"/>
      <c r="AQ107" s="75"/>
      <c r="AR107" s="75"/>
      <c r="AS107" s="130" t="n">
        <f aca="false">AC108</f>
        <v>0</v>
      </c>
      <c r="AT107" s="47"/>
      <c r="AU107" s="21"/>
      <c r="AV107" s="21"/>
      <c r="AW107" s="21"/>
      <c r="AX107" s="21"/>
      <c r="AY107" s="21"/>
      <c r="AZ107" s="21"/>
      <c r="BA107" s="21"/>
      <c r="BB107" s="21"/>
    </row>
    <row collapsed="false" customFormat="false" customHeight="true" hidden="false" ht="15.75" outlineLevel="0" r="108">
      <c r="A108" s="32"/>
      <c r="B108" s="32"/>
      <c r="C108" s="50"/>
      <c r="D108" s="94"/>
      <c r="E108" s="95"/>
      <c r="F108" s="100"/>
      <c r="G108" s="54" t="s">
        <v>105</v>
      </c>
      <c r="H108" s="79" t="n">
        <v>46037</v>
      </c>
      <c r="I108" s="79" t="n">
        <v>46053</v>
      </c>
      <c r="J108" s="80"/>
      <c r="K108" s="81"/>
      <c r="L108" s="101"/>
      <c r="M108" s="108" t="n">
        <v>287</v>
      </c>
      <c r="N108" s="83"/>
      <c r="O108" s="60" t="n">
        <v>15</v>
      </c>
      <c r="P108" s="83" t="n">
        <f aca="false">(J108+K108+L108)*M108</f>
        <v>0</v>
      </c>
      <c r="Q108" s="84"/>
      <c r="R108" s="85"/>
      <c r="S108" s="85"/>
      <c r="T108" s="85"/>
      <c r="U108" s="85"/>
      <c r="V108" s="85"/>
      <c r="W108" s="87"/>
      <c r="X108" s="88" t="n">
        <f aca="false">SUM(P108:W108)</f>
        <v>0</v>
      </c>
      <c r="Y108" s="88"/>
      <c r="Z108" s="89" t="n">
        <f aca="false">AG107</f>
        <v>-18.3300000000017</v>
      </c>
      <c r="AA108" s="68" t="n">
        <f aca="false">X108+Y108+Z108</f>
        <v>-18.3300000000017</v>
      </c>
      <c r="AB108" s="91"/>
      <c r="AC108" s="103"/>
      <c r="AD108" s="92"/>
      <c r="AE108" s="92" t="n">
        <f aca="false">AC108+AD108+AB108</f>
        <v>0</v>
      </c>
      <c r="AF108" s="92"/>
      <c r="AG108" s="104" t="n">
        <f aca="false">AA108-AE108</f>
        <v>-18.3300000000017</v>
      </c>
      <c r="AH108" s="48"/>
      <c r="AI108" s="74"/>
      <c r="AJ108" s="75"/>
      <c r="AK108" s="75"/>
      <c r="AL108" s="75"/>
      <c r="AM108" s="76" t="n">
        <f aca="false">AC108</f>
        <v>0</v>
      </c>
      <c r="AN108" s="75"/>
      <c r="AO108" s="74"/>
      <c r="AP108" s="75"/>
      <c r="AQ108" s="75"/>
      <c r="AR108" s="75"/>
      <c r="AS108" s="130"/>
      <c r="AT108" s="47"/>
      <c r="AU108" s="21"/>
      <c r="AV108" s="21"/>
      <c r="AW108" s="21"/>
      <c r="AX108" s="21"/>
      <c r="AY108" s="21"/>
      <c r="AZ108" s="21"/>
      <c r="BA108" s="21"/>
      <c r="BB108" s="21"/>
    </row>
    <row collapsed="false" customFormat="false" customHeight="true" hidden="false" ht="15.75" outlineLevel="0" r="109">
      <c r="A109" s="32"/>
      <c r="B109" s="32"/>
      <c r="C109" s="50" t="n">
        <v>12</v>
      </c>
      <c r="D109" s="132" t="s">
        <v>61</v>
      </c>
      <c r="E109" s="119" t="s">
        <v>55</v>
      </c>
      <c r="F109" s="120" t="s">
        <v>49</v>
      </c>
      <c r="G109" s="54" t="s">
        <v>105</v>
      </c>
      <c r="H109" s="55" t="n">
        <v>46023</v>
      </c>
      <c r="I109" s="55" t="n">
        <v>46037</v>
      </c>
      <c r="J109" s="56" t="n">
        <v>64</v>
      </c>
      <c r="K109" s="97" t="n">
        <v>2.5</v>
      </c>
      <c r="L109" s="97" t="n">
        <v>40</v>
      </c>
      <c r="M109" s="108" t="n">
        <v>287</v>
      </c>
      <c r="N109" s="59"/>
      <c r="O109" s="60" t="n">
        <v>15</v>
      </c>
      <c r="P109" s="59" t="n">
        <f aca="false">(J109+K109+L109)*M109</f>
        <v>30565.5</v>
      </c>
      <c r="Q109" s="61" t="n">
        <v>26900</v>
      </c>
      <c r="R109" s="62"/>
      <c r="S109" s="62"/>
      <c r="T109" s="62"/>
      <c r="U109" s="62"/>
      <c r="V109" s="62"/>
      <c r="W109" s="64"/>
      <c r="X109" s="65" t="n">
        <f aca="false">SUM(P109:W109)</f>
        <v>57465.5</v>
      </c>
      <c r="Y109" s="66"/>
      <c r="Z109" s="67" t="n">
        <f aca="false">AG27</f>
        <v>46</v>
      </c>
      <c r="AA109" s="68" t="n">
        <f aca="false">X109+Y109+Z109</f>
        <v>57511.5</v>
      </c>
      <c r="AB109" s="69"/>
      <c r="AC109" s="121"/>
      <c r="AD109" s="71" t="n">
        <v>57500</v>
      </c>
      <c r="AE109" s="71" t="n">
        <f aca="false">AC109+AD109+AB109</f>
        <v>57500</v>
      </c>
      <c r="AF109" s="72" t="n">
        <f aca="false">AE109+AE110</f>
        <v>57500</v>
      </c>
      <c r="AG109" s="71" t="n">
        <f aca="false">AA109-AE109</f>
        <v>11.5</v>
      </c>
      <c r="AH109" s="48"/>
      <c r="AI109" s="74" t="n">
        <f aca="false">AD109</f>
        <v>57500</v>
      </c>
      <c r="AJ109" s="75"/>
      <c r="AK109" s="75"/>
      <c r="AL109" s="75"/>
      <c r="AM109" s="76" t="n">
        <f aca="false">AC109</f>
        <v>0</v>
      </c>
      <c r="AN109" s="75"/>
      <c r="AO109" s="74" t="n">
        <f aca="false">AD110</f>
        <v>0</v>
      </c>
      <c r="AP109" s="75"/>
      <c r="AQ109" s="75"/>
      <c r="AR109" s="75"/>
      <c r="AS109" s="75"/>
      <c r="AT109" s="47"/>
      <c r="AU109" s="21"/>
      <c r="AV109" s="21"/>
      <c r="AW109" s="21"/>
      <c r="AX109" s="21"/>
      <c r="AY109" s="21"/>
      <c r="AZ109" s="21"/>
      <c r="BA109" s="21"/>
      <c r="BB109" s="21"/>
    </row>
    <row collapsed="false" customFormat="false" customHeight="true" hidden="false" ht="15.75" outlineLevel="0" r="110">
      <c r="A110" s="32"/>
      <c r="B110" s="32"/>
      <c r="C110" s="50"/>
      <c r="D110" s="133" t="s">
        <v>62</v>
      </c>
      <c r="E110" s="119"/>
      <c r="F110" s="123"/>
      <c r="G110" s="54" t="s">
        <v>105</v>
      </c>
      <c r="H110" s="79" t="n">
        <v>46037</v>
      </c>
      <c r="I110" s="79" t="n">
        <v>46053</v>
      </c>
      <c r="J110" s="80"/>
      <c r="K110" s="81"/>
      <c r="L110" s="101"/>
      <c r="M110" s="108" t="n">
        <v>287</v>
      </c>
      <c r="N110" s="83"/>
      <c r="O110" s="60" t="n">
        <v>15</v>
      </c>
      <c r="P110" s="83" t="n">
        <f aca="false">(J110+K110+L110)*M110</f>
        <v>0</v>
      </c>
      <c r="Q110" s="84"/>
      <c r="R110" s="85"/>
      <c r="S110" s="85"/>
      <c r="T110" s="85"/>
      <c r="U110" s="85"/>
      <c r="V110" s="85"/>
      <c r="W110" s="87"/>
      <c r="X110" s="88" t="n">
        <f aca="false">SUM(P110:W110)</f>
        <v>0</v>
      </c>
      <c r="Y110" s="88"/>
      <c r="Z110" s="89" t="n">
        <f aca="false">AG109</f>
        <v>11.5</v>
      </c>
      <c r="AA110" s="68" t="n">
        <f aca="false">X110+Y110+Z110</f>
        <v>11.5</v>
      </c>
      <c r="AB110" s="91"/>
      <c r="AC110" s="111"/>
      <c r="AD110" s="92"/>
      <c r="AE110" s="71" t="n">
        <f aca="false">AC110+AD110+AB110</f>
        <v>0</v>
      </c>
      <c r="AF110" s="72"/>
      <c r="AG110" s="104" t="n">
        <f aca="false">AA110-AE110</f>
        <v>11.5</v>
      </c>
      <c r="AH110" s="48"/>
      <c r="AI110" s="74"/>
      <c r="AJ110" s="75"/>
      <c r="AK110" s="75"/>
      <c r="AL110" s="75"/>
      <c r="AM110" s="76" t="n">
        <f aca="false">AC110</f>
        <v>0</v>
      </c>
      <c r="AN110" s="75"/>
      <c r="AO110" s="74"/>
      <c r="AP110" s="75"/>
      <c r="AQ110" s="75"/>
      <c r="AR110" s="75"/>
      <c r="AS110" s="75"/>
      <c r="AT110" s="47"/>
      <c r="AU110" s="21"/>
      <c r="AV110" s="21"/>
      <c r="AW110" s="21"/>
      <c r="AX110" s="21"/>
      <c r="AY110" s="21"/>
      <c r="AZ110" s="21"/>
      <c r="BA110" s="21"/>
      <c r="BB110" s="21"/>
    </row>
    <row collapsed="false" customFormat="false" customHeight="true" hidden="false" ht="15.75" outlineLevel="0" r="111">
      <c r="A111" s="32"/>
      <c r="B111" s="32"/>
      <c r="C111" s="50" t="n">
        <v>13</v>
      </c>
      <c r="D111" s="51" t="s">
        <v>63</v>
      </c>
      <c r="E111" s="136" t="s">
        <v>42</v>
      </c>
      <c r="F111" s="53" t="s">
        <v>64</v>
      </c>
      <c r="G111" s="54" t="s">
        <v>105</v>
      </c>
      <c r="H111" s="55" t="n">
        <v>46023</v>
      </c>
      <c r="I111" s="55" t="n">
        <v>46037</v>
      </c>
      <c r="J111" s="56" t="n">
        <v>60</v>
      </c>
      <c r="K111" s="57"/>
      <c r="L111" s="97"/>
      <c r="M111" s="58"/>
      <c r="N111" s="59" t="n">
        <v>136300</v>
      </c>
      <c r="O111" s="60" t="n">
        <v>15</v>
      </c>
      <c r="P111" s="59" t="n">
        <f aca="false">N111/O111/8*J111</f>
        <v>68150</v>
      </c>
      <c r="Q111" s="61"/>
      <c r="R111" s="62"/>
      <c r="S111" s="62"/>
      <c r="T111" s="62"/>
      <c r="U111" s="62"/>
      <c r="V111" s="62"/>
      <c r="W111" s="64"/>
      <c r="X111" s="65" t="n">
        <f aca="false">P111+Q111+R111+S111+T111+U111+V111+W111</f>
        <v>68150</v>
      </c>
      <c r="Y111" s="66"/>
      <c r="Z111" s="67" t="n">
        <f aca="false">AG29</f>
        <v>-144</v>
      </c>
      <c r="AA111" s="90" t="n">
        <f aca="false">X111+Y111+Z111</f>
        <v>68006</v>
      </c>
      <c r="AB111" s="69"/>
      <c r="AC111" s="70" t="n">
        <v>11600.33</v>
      </c>
      <c r="AD111" s="71" t="n">
        <v>56500</v>
      </c>
      <c r="AE111" s="71" t="n">
        <f aca="false">AC111+AD111+AB111</f>
        <v>68100.33</v>
      </c>
      <c r="AF111" s="72" t="n">
        <f aca="false">AE111+AE112</f>
        <v>68100.33</v>
      </c>
      <c r="AG111" s="71" t="n">
        <f aca="false">AA111-AE111</f>
        <v>-94.3300000000017</v>
      </c>
      <c r="AH111" s="48"/>
      <c r="AI111" s="74" t="n">
        <f aca="false">AD111</f>
        <v>56500</v>
      </c>
      <c r="AJ111" s="75"/>
      <c r="AK111" s="75"/>
      <c r="AL111" s="75"/>
      <c r="AM111" s="76" t="n">
        <f aca="false">AC111</f>
        <v>11600.33</v>
      </c>
      <c r="AN111" s="138"/>
      <c r="AO111" s="74" t="n">
        <f aca="false">AD112</f>
        <v>0</v>
      </c>
      <c r="AP111" s="75"/>
      <c r="AQ111" s="75"/>
      <c r="AR111" s="75"/>
      <c r="AS111" s="130" t="n">
        <f aca="false">AC112</f>
        <v>0</v>
      </c>
      <c r="AT111" s="47"/>
      <c r="AU111" s="21"/>
      <c r="AV111" s="21"/>
      <c r="AW111" s="21"/>
      <c r="AX111" s="21"/>
      <c r="AY111" s="21"/>
      <c r="AZ111" s="21"/>
      <c r="BA111" s="21"/>
      <c r="BB111" s="21"/>
    </row>
    <row collapsed="false" customFormat="false" customHeight="true" hidden="false" ht="15.75" outlineLevel="0" r="112">
      <c r="A112" s="32"/>
      <c r="B112" s="32"/>
      <c r="C112" s="50"/>
      <c r="D112" s="51"/>
      <c r="E112" s="136"/>
      <c r="F112" s="78"/>
      <c r="G112" s="54" t="s">
        <v>105</v>
      </c>
      <c r="H112" s="79" t="n">
        <v>46037</v>
      </c>
      <c r="I112" s="79" t="n">
        <v>46053</v>
      </c>
      <c r="J112" s="80"/>
      <c r="K112" s="81"/>
      <c r="L112" s="101"/>
      <c r="M112" s="108"/>
      <c r="N112" s="83" t="n">
        <v>136300</v>
      </c>
      <c r="O112" s="60" t="n">
        <v>15</v>
      </c>
      <c r="P112" s="59" t="n">
        <f aca="false">N112/O112/8*J112</f>
        <v>0</v>
      </c>
      <c r="Q112" s="84"/>
      <c r="R112" s="85"/>
      <c r="S112" s="85"/>
      <c r="T112" s="85"/>
      <c r="U112" s="85"/>
      <c r="V112" s="85"/>
      <c r="W112" s="87"/>
      <c r="X112" s="65" t="n">
        <f aca="false">P112+Q112+R112+S112+T112+U112+V112+W112</f>
        <v>0</v>
      </c>
      <c r="Y112" s="88"/>
      <c r="Z112" s="89" t="n">
        <f aca="false">AG111</f>
        <v>-94.3300000000017</v>
      </c>
      <c r="AA112" s="68" t="n">
        <f aca="false">X112+Y112+Z112</f>
        <v>-94.3300000000017</v>
      </c>
      <c r="AB112" s="91"/>
      <c r="AC112" s="103"/>
      <c r="AD112" s="92"/>
      <c r="AE112" s="71" t="n">
        <f aca="false">AC112+AD112+AB112</f>
        <v>0</v>
      </c>
      <c r="AF112" s="92"/>
      <c r="AG112" s="104" t="n">
        <f aca="false">AA112-AE112</f>
        <v>-94.3300000000017</v>
      </c>
      <c r="AH112" s="105"/>
      <c r="AI112" s="74"/>
      <c r="AJ112" s="75"/>
      <c r="AK112" s="75"/>
      <c r="AL112" s="75"/>
      <c r="AM112" s="140"/>
      <c r="AN112" s="138"/>
      <c r="AO112" s="74"/>
      <c r="AP112" s="74"/>
      <c r="AQ112" s="74"/>
      <c r="AR112" s="75"/>
      <c r="AS112" s="130"/>
      <c r="AT112" s="47"/>
      <c r="AU112" s="21"/>
      <c r="AV112" s="21"/>
      <c r="AW112" s="21"/>
      <c r="AX112" s="21"/>
      <c r="AY112" s="21"/>
      <c r="AZ112" s="21"/>
      <c r="BA112" s="21"/>
      <c r="BB112" s="21"/>
    </row>
    <row collapsed="false" customFormat="false" customHeight="true" hidden="false" ht="15.75" outlineLevel="0" r="113">
      <c r="A113" s="32"/>
      <c r="B113" s="32"/>
      <c r="G113" s="141"/>
      <c r="H113" s="142"/>
      <c r="I113" s="55"/>
      <c r="Q113" s="143"/>
      <c r="R113" s="144"/>
      <c r="S113" s="144"/>
      <c r="T113" s="144"/>
      <c r="U113" s="144"/>
      <c r="V113" s="144"/>
      <c r="W113" s="144"/>
      <c r="Z113" s="143"/>
      <c r="AA113" s="143"/>
      <c r="AB113" s="143"/>
      <c r="AC113" s="143"/>
      <c r="AD113" s="143"/>
      <c r="AE113" s="143"/>
      <c r="AF113" s="143"/>
      <c r="AG113" s="143"/>
      <c r="AH113" s="145"/>
      <c r="AI113" s="146"/>
      <c r="AJ113" s="147"/>
      <c r="AK113" s="148"/>
      <c r="AL113" s="148"/>
      <c r="AM113" s="147"/>
      <c r="AN113" s="147"/>
      <c r="AO113" s="146"/>
      <c r="AP113" s="146"/>
      <c r="AQ113" s="148"/>
      <c r="AR113" s="148"/>
      <c r="AS113" s="147"/>
      <c r="AT113" s="145"/>
      <c r="AU113" s="21"/>
      <c r="AV113" s="21"/>
      <c r="AW113" s="21"/>
      <c r="AX113" s="21"/>
      <c r="AY113" s="21"/>
      <c r="AZ113" s="21"/>
      <c r="BA113" s="21"/>
      <c r="BB113" s="21"/>
    </row>
    <row collapsed="false" customFormat="false" customHeight="true" hidden="false" ht="15.75" outlineLevel="0" r="114">
      <c r="A114" s="32"/>
      <c r="B114" s="32"/>
      <c r="G114" s="141"/>
      <c r="H114" s="79"/>
      <c r="I114" s="149"/>
      <c r="L114" s="144"/>
      <c r="R114" s="144"/>
      <c r="S114" s="144"/>
      <c r="T114" s="144"/>
      <c r="U114" s="144"/>
      <c r="V114" s="144"/>
      <c r="W114" s="144"/>
      <c r="AG114" s="143"/>
      <c r="AH114" s="21"/>
      <c r="AI114" s="21"/>
      <c r="AJ114" s="21"/>
      <c r="AK114" s="21"/>
      <c r="AL114" s="21"/>
      <c r="AM114" s="21"/>
      <c r="AN114" s="21"/>
      <c r="AO114" s="21" t="s">
        <v>65</v>
      </c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</row>
    <row collapsed="false" customFormat="false" customHeight="true" hidden="false" ht="15.75" outlineLevel="0" r="115">
      <c r="A115" s="32"/>
      <c r="B115" s="32"/>
      <c r="C115" s="150"/>
      <c r="D115" s="150"/>
      <c r="E115" s="150"/>
      <c r="F115" s="150"/>
      <c r="G115" s="141"/>
      <c r="H115" s="142"/>
      <c r="I115" s="55"/>
      <c r="J115" s="151" t="s">
        <v>66</v>
      </c>
      <c r="K115" s="151"/>
      <c r="L115" s="151"/>
      <c r="M115" s="151"/>
      <c r="N115" s="151"/>
      <c r="O115" s="151"/>
      <c r="P115" s="150"/>
      <c r="Q115" s="150"/>
      <c r="R115" s="152" t="n">
        <v>16</v>
      </c>
      <c r="S115" s="152"/>
      <c r="T115" s="152"/>
      <c r="U115" s="152"/>
      <c r="V115" s="152"/>
      <c r="W115" s="152"/>
      <c r="X115" s="150"/>
      <c r="Y115" s="150"/>
      <c r="Z115" s="150"/>
      <c r="AA115" s="150"/>
      <c r="AB115" s="150"/>
      <c r="AC115" s="150"/>
      <c r="AD115" s="150"/>
      <c r="AE115" s="150"/>
      <c r="AF115" s="150"/>
      <c r="AG115" s="153"/>
      <c r="AH115" s="154"/>
      <c r="AI115" s="154"/>
      <c r="AJ115" s="154"/>
      <c r="AK115" s="154"/>
      <c r="AL115" s="154"/>
      <c r="AM115" s="154"/>
      <c r="AN115" s="154"/>
      <c r="AO115" s="154"/>
      <c r="AP115" s="154"/>
      <c r="AQ115" s="154"/>
      <c r="AR115" s="154"/>
      <c r="AS115" s="154"/>
      <c r="AT115" s="154"/>
      <c r="AU115" s="21"/>
      <c r="AV115" s="21"/>
      <c r="AW115" s="21"/>
      <c r="AX115" s="21"/>
      <c r="AY115" s="21"/>
      <c r="AZ115" s="21"/>
      <c r="BA115" s="21"/>
      <c r="BB115" s="21"/>
    </row>
    <row collapsed="false" customFormat="false" customHeight="true" hidden="false" ht="15.75" outlineLevel="0" r="116">
      <c r="A116" s="32"/>
      <c r="B116" s="32"/>
      <c r="C116" s="32"/>
      <c r="D116" s="1"/>
      <c r="E116" s="2"/>
      <c r="F116" s="2" t="s">
        <v>2</v>
      </c>
      <c r="G116" s="2"/>
      <c r="H116" s="3" t="s">
        <v>3</v>
      </c>
      <c r="I116" s="4" t="s">
        <v>4</v>
      </c>
      <c r="J116" s="7" t="s">
        <v>67</v>
      </c>
      <c r="K116" s="7" t="s">
        <v>68</v>
      </c>
      <c r="L116" s="5" t="s">
        <v>69</v>
      </c>
      <c r="M116" s="7" t="s">
        <v>8</v>
      </c>
      <c r="N116" s="7" t="s">
        <v>9</v>
      </c>
      <c r="O116" s="8" t="s">
        <v>70</v>
      </c>
      <c r="P116" s="8" t="s">
        <v>71</v>
      </c>
      <c r="Q116" s="9" t="s">
        <v>12</v>
      </c>
      <c r="R116" s="10" t="s">
        <v>13</v>
      </c>
      <c r="S116" s="10" t="s">
        <v>14</v>
      </c>
      <c r="T116" s="10" t="s">
        <v>15</v>
      </c>
      <c r="U116" s="10" t="s">
        <v>16</v>
      </c>
      <c r="V116" s="10" t="s">
        <v>17</v>
      </c>
      <c r="W116" s="10" t="s">
        <v>18</v>
      </c>
      <c r="X116" s="11" t="s">
        <v>19</v>
      </c>
      <c r="Y116" s="11" t="s">
        <v>20</v>
      </c>
      <c r="Z116" s="12" t="s">
        <v>21</v>
      </c>
      <c r="AA116" s="13" t="s">
        <v>22</v>
      </c>
      <c r="AB116" s="12" t="s">
        <v>23</v>
      </c>
      <c r="AC116" s="155"/>
      <c r="AD116" s="1"/>
      <c r="AE116" s="2" t="s">
        <v>72</v>
      </c>
      <c r="AF116" s="2" t="s">
        <v>27</v>
      </c>
      <c r="AG116" s="14" t="s">
        <v>28</v>
      </c>
      <c r="AH116" s="2" t="s">
        <v>29</v>
      </c>
      <c r="AI116" s="21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21"/>
      <c r="AV116" s="21"/>
      <c r="AW116" s="21"/>
      <c r="AX116" s="21"/>
      <c r="AY116" s="21"/>
      <c r="AZ116" s="21"/>
      <c r="BA116" s="21"/>
      <c r="BB116" s="21"/>
    </row>
    <row collapsed="false" customFormat="false" customHeight="true" hidden="false" ht="15.75" outlineLevel="0" r="117">
      <c r="A117" s="32"/>
      <c r="B117" s="32"/>
      <c r="C117" s="50" t="n">
        <v>1</v>
      </c>
      <c r="D117" s="157" t="s">
        <v>73</v>
      </c>
      <c r="E117" s="158" t="s">
        <v>74</v>
      </c>
      <c r="F117" s="53" t="s">
        <v>64</v>
      </c>
      <c r="G117" s="54" t="s">
        <v>105</v>
      </c>
      <c r="H117" s="55" t="n">
        <v>46023</v>
      </c>
      <c r="I117" s="55" t="n">
        <v>46037</v>
      </c>
      <c r="J117" s="56" t="n">
        <v>60</v>
      </c>
      <c r="K117" s="57"/>
      <c r="L117" s="159"/>
      <c r="M117" s="58"/>
      <c r="N117" s="59" t="n">
        <v>80000</v>
      </c>
      <c r="O117" s="60" t="n">
        <f aca="false">15*8</f>
        <v>120</v>
      </c>
      <c r="P117" s="59" t="n">
        <f aca="false">N117/O117*(J117+K117+L117+M117)</f>
        <v>40000</v>
      </c>
      <c r="Q117" s="61"/>
      <c r="R117" s="62"/>
      <c r="S117" s="62"/>
      <c r="T117" s="62"/>
      <c r="U117" s="62"/>
      <c r="V117" s="62"/>
      <c r="W117" s="64"/>
      <c r="X117" s="65" t="n">
        <f aca="false">SUM(P117:W117)</f>
        <v>40000</v>
      </c>
      <c r="Y117" s="66"/>
      <c r="Z117" s="67" t="n">
        <f aca="false">AG35</f>
        <v>81.0000000000145</v>
      </c>
      <c r="AA117" s="68" t="n">
        <f aca="false">X117+Y117+Z117</f>
        <v>40081</v>
      </c>
      <c r="AB117" s="91"/>
      <c r="AC117" s="70" t="n">
        <v>11600.33</v>
      </c>
      <c r="AD117" s="71" t="n">
        <v>28500</v>
      </c>
      <c r="AE117" s="71" t="n">
        <f aca="false">AC117+AD117+AB117</f>
        <v>40100.33</v>
      </c>
      <c r="AF117" s="72" t="n">
        <f aca="false">AE117+AE118</f>
        <v>40100.33</v>
      </c>
      <c r="AG117" s="71" t="n">
        <f aca="false">AA117-AE117</f>
        <v>-19.3299999999872</v>
      </c>
      <c r="AH117" s="160"/>
      <c r="AI117" s="161" t="n">
        <f aca="false">AD117</f>
        <v>28500</v>
      </c>
      <c r="AJ117" s="75"/>
      <c r="AK117" s="75"/>
      <c r="AL117" s="75"/>
      <c r="AM117" s="76" t="n">
        <f aca="false">AC117</f>
        <v>11600.33</v>
      </c>
      <c r="AN117" s="76"/>
      <c r="AO117" s="74" t="n">
        <f aca="false">AD118</f>
        <v>0</v>
      </c>
      <c r="AP117" s="75"/>
      <c r="AQ117" s="75"/>
      <c r="AR117" s="75"/>
      <c r="AS117" s="76" t="n">
        <f aca="false">AC118</f>
        <v>0</v>
      </c>
      <c r="AT117" s="76"/>
      <c r="AU117" s="21"/>
      <c r="AV117" s="21"/>
      <c r="AW117" s="21"/>
      <c r="AX117" s="21"/>
      <c r="AY117" s="21"/>
      <c r="AZ117" s="21"/>
      <c r="BA117" s="21"/>
      <c r="BB117" s="21"/>
    </row>
    <row collapsed="false" customFormat="false" customHeight="true" hidden="false" ht="15.75" outlineLevel="0" r="118">
      <c r="A118" s="32"/>
      <c r="B118" s="32"/>
      <c r="C118" s="50"/>
      <c r="D118" s="157"/>
      <c r="E118" s="157"/>
      <c r="F118" s="78"/>
      <c r="G118" s="54" t="s">
        <v>105</v>
      </c>
      <c r="H118" s="79" t="n">
        <v>46037</v>
      </c>
      <c r="I118" s="79" t="n">
        <v>46053</v>
      </c>
      <c r="J118" s="56" t="n">
        <v>60</v>
      </c>
      <c r="K118" s="81"/>
      <c r="L118" s="82"/>
      <c r="M118" s="108"/>
      <c r="N118" s="59" t="n">
        <v>80000</v>
      </c>
      <c r="O118" s="60" t="n">
        <f aca="false">15*8</f>
        <v>120</v>
      </c>
      <c r="P118" s="59" t="n">
        <f aca="false">N118/O118*(J118+K118+L118+M118)</f>
        <v>40000</v>
      </c>
      <c r="Q118" s="84"/>
      <c r="R118" s="85"/>
      <c r="S118" s="85"/>
      <c r="T118" s="85"/>
      <c r="U118" s="85"/>
      <c r="V118" s="85"/>
      <c r="W118" s="87"/>
      <c r="X118" s="88" t="n">
        <f aca="false">SUM(P118:W118)</f>
        <v>40000</v>
      </c>
      <c r="Y118" s="88"/>
      <c r="Z118" s="89" t="n">
        <f aca="false">AG117</f>
        <v>-19.3299999999872</v>
      </c>
      <c r="AA118" s="68" t="n">
        <f aca="false">X118+Y118+Z118</f>
        <v>39980.67</v>
      </c>
      <c r="AB118" s="91"/>
      <c r="AC118" s="103"/>
      <c r="AD118" s="92"/>
      <c r="AE118" s="71" t="n">
        <f aca="false">AC118+AD118</f>
        <v>0</v>
      </c>
      <c r="AF118" s="92"/>
      <c r="AG118" s="104" t="n">
        <f aca="false">AA118-AE118</f>
        <v>39980.67</v>
      </c>
      <c r="AH118" s="163"/>
      <c r="AI118" s="161"/>
      <c r="AJ118" s="75"/>
      <c r="AK118" s="75"/>
      <c r="AL118" s="75"/>
      <c r="AM118" s="76"/>
      <c r="AN118" s="76"/>
      <c r="AO118" s="74"/>
      <c r="AP118" s="75"/>
      <c r="AQ118" s="75"/>
      <c r="AR118" s="75"/>
      <c r="AS118" s="76"/>
      <c r="AT118" s="76"/>
      <c r="AU118" s="21"/>
      <c r="AV118" s="21"/>
      <c r="AW118" s="21"/>
      <c r="AX118" s="21"/>
      <c r="AY118" s="21"/>
      <c r="AZ118" s="21"/>
      <c r="BA118" s="21"/>
      <c r="BB118" s="21"/>
    </row>
    <row collapsed="false" customFormat="false" customHeight="true" hidden="false" ht="15.75" outlineLevel="0" r="119">
      <c r="A119" s="32"/>
      <c r="B119" s="32"/>
      <c r="C119" s="50" t="n">
        <v>2</v>
      </c>
      <c r="D119" s="165" t="s">
        <v>75</v>
      </c>
      <c r="E119" s="166" t="s">
        <v>76</v>
      </c>
      <c r="F119" s="53" t="s">
        <v>64</v>
      </c>
      <c r="G119" s="54" t="s">
        <v>105</v>
      </c>
      <c r="H119" s="55" t="n">
        <v>46023</v>
      </c>
      <c r="I119" s="55" t="n">
        <v>46037</v>
      </c>
      <c r="J119" s="56" t="n">
        <v>60</v>
      </c>
      <c r="K119" s="57"/>
      <c r="L119" s="167"/>
      <c r="M119" s="168"/>
      <c r="N119" s="169" t="n">
        <v>70000</v>
      </c>
      <c r="O119" s="60" t="n">
        <f aca="false">15*8</f>
        <v>120</v>
      </c>
      <c r="P119" s="59" t="n">
        <f aca="false">N119/O119*(J119+K119+L119+M119)</f>
        <v>35000</v>
      </c>
      <c r="Q119" s="67" t="n">
        <v>56626</v>
      </c>
      <c r="R119" s="62"/>
      <c r="S119" s="62"/>
      <c r="T119" s="62"/>
      <c r="U119" s="62"/>
      <c r="V119" s="62"/>
      <c r="W119" s="64"/>
      <c r="X119" s="65" t="n">
        <f aca="false">SUM(P119:W119)</f>
        <v>91626</v>
      </c>
      <c r="Y119" s="66"/>
      <c r="Z119" s="67" t="n">
        <f aca="false">AG37</f>
        <v>92.179090909096</v>
      </c>
      <c r="AA119" s="68" t="n">
        <f aca="false">X119+Y119+Z119</f>
        <v>91718.1790909091</v>
      </c>
      <c r="AB119" s="57"/>
      <c r="AC119" s="70" t="n">
        <v>11600.33</v>
      </c>
      <c r="AD119" s="71" t="n">
        <v>80000</v>
      </c>
      <c r="AE119" s="71" t="n">
        <f aca="false">AC119+AD119+AB119</f>
        <v>91600.33</v>
      </c>
      <c r="AF119" s="72" t="n">
        <f aca="false">AE119+AE120</f>
        <v>94650.33</v>
      </c>
      <c r="AG119" s="71" t="n">
        <f aca="false">AA119-AE119</f>
        <v>117.849090909091</v>
      </c>
      <c r="AH119" s="170"/>
      <c r="AI119" s="161" t="n">
        <f aca="false">AD119</f>
        <v>80000</v>
      </c>
      <c r="AJ119" s="75"/>
      <c r="AK119" s="75"/>
      <c r="AL119" s="75"/>
      <c r="AM119" s="76" t="n">
        <f aca="false">AC119</f>
        <v>11600.33</v>
      </c>
      <c r="AN119" s="76"/>
      <c r="AO119" s="74" t="n">
        <f aca="false">AD120</f>
        <v>0</v>
      </c>
      <c r="AP119" s="75"/>
      <c r="AQ119" s="75"/>
      <c r="AR119" s="75"/>
      <c r="AS119" s="76" t="n">
        <f aca="false">AC120</f>
        <v>0</v>
      </c>
      <c r="AT119" s="76"/>
      <c r="AU119" s="21"/>
      <c r="AV119" s="21"/>
      <c r="AW119" s="21"/>
      <c r="AX119" s="21"/>
      <c r="AY119" s="21"/>
      <c r="AZ119" s="21"/>
      <c r="BA119" s="21"/>
      <c r="BB119" s="21"/>
    </row>
    <row collapsed="false" customFormat="false" customHeight="true" hidden="false" ht="15.75" outlineLevel="0" r="120">
      <c r="A120" s="32"/>
      <c r="B120" s="32"/>
      <c r="C120" s="50"/>
      <c r="D120" s="165"/>
      <c r="E120" s="166"/>
      <c r="F120" s="78"/>
      <c r="G120" s="54" t="s">
        <v>105</v>
      </c>
      <c r="H120" s="79" t="n">
        <v>46037</v>
      </c>
      <c r="I120" s="79" t="n">
        <v>46053</v>
      </c>
      <c r="J120" s="56" t="n">
        <v>60</v>
      </c>
      <c r="K120" s="81"/>
      <c r="L120" s="82"/>
      <c r="M120" s="171"/>
      <c r="N120" s="162" t="n">
        <v>70000</v>
      </c>
      <c r="O120" s="60" t="n">
        <f aca="false">15*8</f>
        <v>120</v>
      </c>
      <c r="P120" s="59" t="n">
        <f aca="false">N120/O120*(J120+K120+L120+M120)</f>
        <v>35000</v>
      </c>
      <c r="Q120" s="84"/>
      <c r="R120" s="85"/>
      <c r="S120" s="85"/>
      <c r="T120" s="85"/>
      <c r="U120" s="85"/>
      <c r="V120" s="85"/>
      <c r="W120" s="87"/>
      <c r="X120" s="88" t="n">
        <f aca="false">SUM(P120:W120)</f>
        <v>35000</v>
      </c>
      <c r="Y120" s="88"/>
      <c r="Z120" s="89" t="n">
        <f aca="false">AG119</f>
        <v>117.849090909091</v>
      </c>
      <c r="AA120" s="90" t="n">
        <f aca="false">X120+Y120+Z120</f>
        <v>35117.8490909091</v>
      </c>
      <c r="AC120" s="103"/>
      <c r="AD120" s="92"/>
      <c r="AE120" s="92" t="n">
        <f aca="false">AC120+AD120+AB121</f>
        <v>3050</v>
      </c>
      <c r="AF120" s="92"/>
      <c r="AG120" s="104" t="n">
        <f aca="false">AA120-AE120</f>
        <v>32067.8490909091</v>
      </c>
      <c r="AH120" s="163"/>
      <c r="AI120" s="161"/>
      <c r="AJ120" s="75"/>
      <c r="AK120" s="75"/>
      <c r="AL120" s="75"/>
      <c r="AM120" s="76"/>
      <c r="AN120" s="76"/>
      <c r="AO120" s="74"/>
      <c r="AP120" s="75"/>
      <c r="AQ120" s="75"/>
      <c r="AR120" s="75"/>
      <c r="AS120" s="76"/>
      <c r="AT120" s="76"/>
      <c r="AU120" s="21"/>
      <c r="AV120" s="21"/>
      <c r="AW120" s="21"/>
      <c r="AX120" s="21"/>
      <c r="AY120" s="21"/>
      <c r="AZ120" s="21"/>
      <c r="BA120" s="21"/>
      <c r="BB120" s="21"/>
    </row>
    <row collapsed="false" customFormat="false" customHeight="true" hidden="false" ht="15.75" outlineLevel="0" r="121">
      <c r="A121" s="32"/>
      <c r="B121" s="32"/>
      <c r="C121" s="50" t="n">
        <v>3</v>
      </c>
      <c r="D121" s="165" t="s">
        <v>78</v>
      </c>
      <c r="E121" s="166" t="s">
        <v>76</v>
      </c>
      <c r="F121" s="53" t="s">
        <v>64</v>
      </c>
      <c r="G121" s="54" t="s">
        <v>105</v>
      </c>
      <c r="H121" s="55" t="n">
        <v>46023</v>
      </c>
      <c r="I121" s="55" t="n">
        <v>46037</v>
      </c>
      <c r="J121" s="56" t="n">
        <v>60</v>
      </c>
      <c r="K121" s="57"/>
      <c r="L121" s="172"/>
      <c r="M121" s="168"/>
      <c r="N121" s="169" t="n">
        <v>70000</v>
      </c>
      <c r="O121" s="60" t="n">
        <f aca="false">15*8</f>
        <v>120</v>
      </c>
      <c r="P121" s="59" t="n">
        <f aca="false">N121/O121*(J121+K121+L121+M121)</f>
        <v>35000</v>
      </c>
      <c r="Q121" s="67" t="n">
        <v>73280</v>
      </c>
      <c r="R121" s="62"/>
      <c r="S121" s="62"/>
      <c r="T121" s="62"/>
      <c r="U121" s="62"/>
      <c r="V121" s="62"/>
      <c r="W121" s="159"/>
      <c r="X121" s="65" t="n">
        <f aca="false">SUM(P121:W121)</f>
        <v>108280</v>
      </c>
      <c r="Y121" s="66"/>
      <c r="Z121" s="67" t="n">
        <f aca="false">AG39</f>
        <v>-169</v>
      </c>
      <c r="AA121" s="68" t="n">
        <f aca="false">X121+Y121+Z121</f>
        <v>108111</v>
      </c>
      <c r="AB121" s="69" t="n">
        <v>3050</v>
      </c>
      <c r="AC121" s="70" t="n">
        <v>6960</v>
      </c>
      <c r="AD121" s="173" t="n">
        <v>98000</v>
      </c>
      <c r="AE121" s="71" t="n">
        <f aca="false">AC121+AD121+AB122</f>
        <v>108010</v>
      </c>
      <c r="AF121" s="72" t="n">
        <f aca="false">AE121+AE122</f>
        <v>111060</v>
      </c>
      <c r="AG121" s="71" t="n">
        <f aca="false">AA121-AE121</f>
        <v>101</v>
      </c>
      <c r="AH121" s="170"/>
      <c r="AI121" s="161" t="n">
        <f aca="false">AD121</f>
        <v>98000</v>
      </c>
      <c r="AJ121" s="75"/>
      <c r="AK121" s="99" t="n">
        <f aca="false">AC121</f>
        <v>6960</v>
      </c>
      <c r="AL121" s="75"/>
      <c r="AM121" s="75"/>
      <c r="AN121" s="75"/>
      <c r="AO121" s="74" t="n">
        <f aca="false">AD122</f>
        <v>0</v>
      </c>
      <c r="AP121" s="75"/>
      <c r="AQ121" s="99" t="n">
        <f aca="false">AC122</f>
        <v>0</v>
      </c>
      <c r="AR121" s="75"/>
      <c r="AS121" s="75"/>
      <c r="AT121" s="76"/>
      <c r="AU121" s="21"/>
      <c r="AV121" s="21"/>
      <c r="AW121" s="21"/>
      <c r="AX121" s="21"/>
      <c r="AY121" s="21"/>
      <c r="AZ121" s="21"/>
      <c r="BA121" s="21"/>
      <c r="BB121" s="21"/>
    </row>
    <row collapsed="false" customFormat="false" customHeight="true" hidden="false" ht="15.75" outlineLevel="0" r="122">
      <c r="A122" s="32"/>
      <c r="B122" s="32"/>
      <c r="C122" s="50"/>
      <c r="D122" s="165"/>
      <c r="E122" s="166"/>
      <c r="F122" s="78"/>
      <c r="G122" s="54" t="s">
        <v>105</v>
      </c>
      <c r="H122" s="79" t="n">
        <v>46037</v>
      </c>
      <c r="I122" s="79" t="n">
        <v>46053</v>
      </c>
      <c r="J122" s="56" t="n">
        <v>60</v>
      </c>
      <c r="K122" s="81"/>
      <c r="L122" s="82"/>
      <c r="M122" s="171"/>
      <c r="N122" s="169" t="n">
        <f aca="false">N121</f>
        <v>70000</v>
      </c>
      <c r="O122" s="60" t="n">
        <f aca="false">15*8</f>
        <v>120</v>
      </c>
      <c r="P122" s="59" t="n">
        <f aca="false">N122/O122*(J122+K122+L122+M122)</f>
        <v>35000</v>
      </c>
      <c r="Q122" s="84"/>
      <c r="R122" s="85"/>
      <c r="S122" s="85"/>
      <c r="T122" s="85"/>
      <c r="U122" s="85"/>
      <c r="V122" s="85"/>
      <c r="W122" s="87"/>
      <c r="X122" s="88" t="n">
        <f aca="false">SUM(P122:W122)</f>
        <v>35000</v>
      </c>
      <c r="Y122" s="88"/>
      <c r="Z122" s="89" t="n">
        <f aca="false">AG121</f>
        <v>101</v>
      </c>
      <c r="AA122" s="90" t="n">
        <f aca="false">X122+Y122+Z122</f>
        <v>35101</v>
      </c>
      <c r="AB122" s="69" t="n">
        <v>3050</v>
      </c>
      <c r="AC122" s="103"/>
      <c r="AD122" s="92"/>
      <c r="AE122" s="71" t="n">
        <f aca="false">AC122+AD122+AB122</f>
        <v>3050</v>
      </c>
      <c r="AF122" s="92"/>
      <c r="AG122" s="104" t="n">
        <f aca="false">AA122-AE122</f>
        <v>32051</v>
      </c>
      <c r="AH122" s="163"/>
      <c r="AI122" s="161"/>
      <c r="AJ122" s="75"/>
      <c r="AK122" s="99"/>
      <c r="AL122" s="75"/>
      <c r="AM122" s="75"/>
      <c r="AN122" s="75"/>
      <c r="AO122" s="74"/>
      <c r="AP122" s="75"/>
      <c r="AQ122" s="75"/>
      <c r="AR122" s="75"/>
      <c r="AS122" s="75"/>
      <c r="AT122" s="76"/>
      <c r="AU122" s="21"/>
      <c r="AV122" s="21"/>
      <c r="AW122" s="21"/>
      <c r="AX122" s="21"/>
      <c r="AY122" s="21"/>
      <c r="AZ122" s="21"/>
      <c r="BA122" s="21"/>
      <c r="BB122" s="21"/>
    </row>
    <row collapsed="false" customFormat="false" customHeight="true" hidden="false" ht="15.75" outlineLevel="0" r="123">
      <c r="A123" s="32"/>
      <c r="B123" s="32"/>
      <c r="C123" s="50" t="n">
        <v>4</v>
      </c>
      <c r="D123" s="165" t="s">
        <v>80</v>
      </c>
      <c r="E123" s="166" t="s">
        <v>76</v>
      </c>
      <c r="F123" s="53" t="s">
        <v>64</v>
      </c>
      <c r="G123" s="54" t="s">
        <v>105</v>
      </c>
      <c r="H123" s="55" t="n">
        <v>46023</v>
      </c>
      <c r="I123" s="55" t="n">
        <v>46037</v>
      </c>
      <c r="J123" s="56" t="n">
        <v>60</v>
      </c>
      <c r="K123" s="57"/>
      <c r="L123" s="172"/>
      <c r="M123" s="168"/>
      <c r="N123" s="169" t="n">
        <v>70000</v>
      </c>
      <c r="O123" s="60" t="n">
        <f aca="false">15*8</f>
        <v>120</v>
      </c>
      <c r="P123" s="59" t="n">
        <f aca="false">N123/O123*(J123+K123+L123+M123)</f>
        <v>35000</v>
      </c>
      <c r="Q123" s="67" t="n">
        <v>93280</v>
      </c>
      <c r="R123" s="62"/>
      <c r="S123" s="62"/>
      <c r="T123" s="62"/>
      <c r="U123" s="62"/>
      <c r="V123" s="62"/>
      <c r="W123" s="159"/>
      <c r="X123" s="65" t="n">
        <f aca="false">SUM(P123:W123)</f>
        <v>128280</v>
      </c>
      <c r="Y123" s="66"/>
      <c r="Z123" s="67" t="n">
        <f aca="false">AG41</f>
        <v>-128.000000000004</v>
      </c>
      <c r="AA123" s="68" t="n">
        <f aca="false">X123+Y123+Z123</f>
        <v>128152</v>
      </c>
      <c r="AB123" s="69"/>
      <c r="AC123" s="70" t="n">
        <v>11600.33</v>
      </c>
      <c r="AD123" s="173" t="n">
        <v>116500</v>
      </c>
      <c r="AE123" s="71" t="n">
        <f aca="false">AC123+AD123+AB123</f>
        <v>128100.33</v>
      </c>
      <c r="AF123" s="72" t="n">
        <f aca="false">AE123+AE124</f>
        <v>128100.33</v>
      </c>
      <c r="AG123" s="71" t="n">
        <f aca="false">AA123-AE123</f>
        <v>51.6699999999983</v>
      </c>
      <c r="AH123" s="170"/>
      <c r="AI123" s="161" t="n">
        <f aca="false">AD123</f>
        <v>116500</v>
      </c>
      <c r="AJ123" s="75"/>
      <c r="AK123" s="75"/>
      <c r="AL123" s="75"/>
      <c r="AM123" s="76" t="n">
        <f aca="false">AC123</f>
        <v>11600.33</v>
      </c>
      <c r="AN123" s="75"/>
      <c r="AO123" s="74" t="n">
        <f aca="false">AD124</f>
        <v>0</v>
      </c>
      <c r="AP123" s="75"/>
      <c r="AQ123" s="75"/>
      <c r="AR123" s="75"/>
      <c r="AS123" s="76" t="n">
        <f aca="false">AC124</f>
        <v>0</v>
      </c>
      <c r="AT123" s="76"/>
      <c r="AU123" s="21"/>
      <c r="AV123" s="21"/>
      <c r="AW123" s="21"/>
      <c r="AX123" s="21"/>
      <c r="AY123" s="21"/>
      <c r="AZ123" s="21"/>
      <c r="BA123" s="21"/>
      <c r="BB123" s="21"/>
    </row>
    <row collapsed="false" customFormat="false" customHeight="true" hidden="false" ht="15.75" outlineLevel="0" r="124">
      <c r="A124" s="32"/>
      <c r="B124" s="32"/>
      <c r="C124" s="50"/>
      <c r="D124" s="165"/>
      <c r="E124" s="166"/>
      <c r="F124" s="53" t="s">
        <v>64</v>
      </c>
      <c r="G124" s="54" t="s">
        <v>105</v>
      </c>
      <c r="H124" s="79" t="n">
        <v>46037</v>
      </c>
      <c r="I124" s="79" t="n">
        <v>46053</v>
      </c>
      <c r="J124" s="56" t="n">
        <v>60</v>
      </c>
      <c r="K124" s="81"/>
      <c r="L124" s="82" t="n">
        <v>32</v>
      </c>
      <c r="M124" s="171"/>
      <c r="N124" s="169" t="n">
        <v>70000</v>
      </c>
      <c r="O124" s="60" t="n">
        <f aca="false">15*8</f>
        <v>120</v>
      </c>
      <c r="P124" s="59" t="n">
        <f aca="false">N124/O124*(J124+K124+L124+M124)</f>
        <v>53666.6666666667</v>
      </c>
      <c r="Q124" s="84"/>
      <c r="R124" s="85"/>
      <c r="S124" s="85"/>
      <c r="T124" s="85"/>
      <c r="U124" s="85"/>
      <c r="V124" s="85"/>
      <c r="W124" s="87"/>
      <c r="X124" s="65" t="n">
        <f aca="false">SUM(P124:W124)</f>
        <v>53666.6666666667</v>
      </c>
      <c r="Y124" s="88"/>
      <c r="Z124" s="89" t="n">
        <f aca="false">AG123</f>
        <v>51.6699999999983</v>
      </c>
      <c r="AA124" s="68" t="n">
        <f aca="false">X124+Y124+Z124</f>
        <v>53718.3366666667</v>
      </c>
      <c r="AB124" s="91"/>
      <c r="AC124" s="103"/>
      <c r="AD124" s="92"/>
      <c r="AE124" s="71" t="n">
        <f aca="false">AC124+AD124+AB124</f>
        <v>0</v>
      </c>
      <c r="AF124" s="72"/>
      <c r="AG124" s="104" t="n">
        <f aca="false">AA124-AE124</f>
        <v>53718.3366666667</v>
      </c>
      <c r="AH124" s="163"/>
      <c r="AI124" s="161"/>
      <c r="AJ124" s="75"/>
      <c r="AK124" s="75"/>
      <c r="AL124" s="75"/>
      <c r="AM124" s="76"/>
      <c r="AN124" s="75"/>
      <c r="AO124" s="74"/>
      <c r="AP124" s="75"/>
      <c r="AQ124" s="75"/>
      <c r="AR124" s="75"/>
      <c r="AS124" s="76"/>
      <c r="AT124" s="76"/>
      <c r="AU124" s="21"/>
      <c r="AV124" s="21"/>
      <c r="AW124" s="21"/>
      <c r="AX124" s="21"/>
      <c r="AY124" s="21"/>
      <c r="AZ124" s="21"/>
      <c r="BA124" s="21"/>
      <c r="BB124" s="21"/>
    </row>
    <row collapsed="false" customFormat="false" customHeight="true" hidden="false" ht="15.75" outlineLevel="0" r="125">
      <c r="A125" s="32"/>
      <c r="B125" s="32"/>
      <c r="C125" s="50" t="n">
        <v>5</v>
      </c>
      <c r="D125" s="165" t="s">
        <v>81</v>
      </c>
      <c r="E125" s="166" t="s">
        <v>76</v>
      </c>
      <c r="F125" s="53" t="s">
        <v>64</v>
      </c>
      <c r="G125" s="54" t="s">
        <v>105</v>
      </c>
      <c r="H125" s="55" t="n">
        <v>46023</v>
      </c>
      <c r="I125" s="55" t="n">
        <v>46037</v>
      </c>
      <c r="J125" s="56" t="n">
        <v>60</v>
      </c>
      <c r="K125" s="57"/>
      <c r="L125" s="172"/>
      <c r="M125" s="168"/>
      <c r="N125" s="169" t="n">
        <v>30000</v>
      </c>
      <c r="O125" s="60" t="n">
        <f aca="false">15*8</f>
        <v>120</v>
      </c>
      <c r="P125" s="59" t="n">
        <f aca="false">N125/O125*(J125+K125+L125+M125)</f>
        <v>15000</v>
      </c>
      <c r="Q125" s="61"/>
      <c r="R125" s="62"/>
      <c r="S125" s="62"/>
      <c r="T125" s="62"/>
      <c r="U125" s="62"/>
      <c r="V125" s="62"/>
      <c r="W125" s="159"/>
      <c r="X125" s="65" t="n">
        <f aca="false">SUM(P125:W125)</f>
        <v>15000</v>
      </c>
      <c r="Y125" s="66"/>
      <c r="Z125" s="67" t="n">
        <f aca="false">AG43</f>
        <v>341</v>
      </c>
      <c r="AA125" s="68" t="n">
        <f aca="false">X125+Y125+Z125</f>
        <v>15341</v>
      </c>
      <c r="AB125" s="69"/>
      <c r="AC125" s="70"/>
      <c r="AD125" s="173"/>
      <c r="AE125" s="71" t="n">
        <f aca="false">AC125+AD125+AB125</f>
        <v>0</v>
      </c>
      <c r="AF125" s="72" t="n">
        <f aca="false">AE125+AE126</f>
        <v>0</v>
      </c>
      <c r="AG125" s="71" t="n">
        <f aca="false">AA125-AE125</f>
        <v>15341</v>
      </c>
      <c r="AH125" s="170"/>
      <c r="AI125" s="161" t="n">
        <f aca="false">AD125</f>
        <v>0</v>
      </c>
      <c r="AJ125" s="75"/>
      <c r="AK125" s="75"/>
      <c r="AL125" s="75"/>
      <c r="AM125" s="76" t="n">
        <f aca="false">AC125</f>
        <v>0</v>
      </c>
      <c r="AN125" s="75"/>
      <c r="AO125" s="74" t="n">
        <f aca="false">AD126</f>
        <v>0</v>
      </c>
      <c r="AP125" s="75"/>
      <c r="AQ125" s="75"/>
      <c r="AR125" s="75"/>
      <c r="AS125" s="76" t="n">
        <f aca="false">AC126</f>
        <v>0</v>
      </c>
      <c r="AT125" s="76"/>
      <c r="AU125" s="21"/>
      <c r="AV125" s="21"/>
      <c r="AW125" s="21"/>
      <c r="AX125" s="21"/>
      <c r="AY125" s="21"/>
      <c r="AZ125" s="21"/>
      <c r="BA125" s="21"/>
      <c r="BB125" s="21"/>
    </row>
    <row collapsed="false" customFormat="false" customHeight="true" hidden="false" ht="15.75" outlineLevel="0" r="126">
      <c r="A126" s="32"/>
      <c r="B126" s="32"/>
      <c r="C126" s="50"/>
      <c r="D126" s="165"/>
      <c r="E126" s="166"/>
      <c r="F126" s="53" t="s">
        <v>64</v>
      </c>
      <c r="G126" s="54" t="s">
        <v>105</v>
      </c>
      <c r="H126" s="79" t="n">
        <v>46037</v>
      </c>
      <c r="I126" s="79" t="n">
        <v>46053</v>
      </c>
      <c r="J126" s="56" t="n">
        <v>60</v>
      </c>
      <c r="K126" s="81"/>
      <c r="L126" s="82"/>
      <c r="M126" s="171"/>
      <c r="N126" s="169" t="n">
        <v>30000</v>
      </c>
      <c r="O126" s="60" t="n">
        <f aca="false">15*8</f>
        <v>120</v>
      </c>
      <c r="P126" s="59" t="n">
        <f aca="false">N126/O126*(J126+K126+L126+M126)</f>
        <v>15000</v>
      </c>
      <c r="Q126" s="84"/>
      <c r="R126" s="85"/>
      <c r="S126" s="85"/>
      <c r="T126" s="85"/>
      <c r="U126" s="85"/>
      <c r="V126" s="85"/>
      <c r="W126" s="87"/>
      <c r="X126" s="65" t="n">
        <f aca="false">SUM(P126:W126)</f>
        <v>15000</v>
      </c>
      <c r="Y126" s="88"/>
      <c r="Z126" s="89" t="n">
        <f aca="false">Z125</f>
        <v>341</v>
      </c>
      <c r="AA126" s="68" t="n">
        <f aca="false">X126+Y126+Z126</f>
        <v>15341</v>
      </c>
      <c r="AB126" s="91"/>
      <c r="AC126" s="103"/>
      <c r="AD126" s="92"/>
      <c r="AE126" s="71" t="n">
        <f aca="false">AC126+AD126+AB126</f>
        <v>0</v>
      </c>
      <c r="AF126" s="72"/>
      <c r="AG126" s="71" t="n">
        <f aca="false">AA126-AE126</f>
        <v>15341</v>
      </c>
      <c r="AH126" s="163"/>
      <c r="AI126" s="161"/>
      <c r="AJ126" s="75"/>
      <c r="AK126" s="75"/>
      <c r="AL126" s="75"/>
      <c r="AM126" s="76"/>
      <c r="AN126" s="75"/>
      <c r="AO126" s="74"/>
      <c r="AP126" s="75"/>
      <c r="AQ126" s="75"/>
      <c r="AR126" s="75"/>
      <c r="AS126" s="76"/>
      <c r="AT126" s="76"/>
      <c r="AU126" s="21"/>
      <c r="AV126" s="21"/>
      <c r="AW126" s="21"/>
      <c r="AX126" s="21"/>
      <c r="AY126" s="21"/>
      <c r="AZ126" s="21"/>
      <c r="BA126" s="21"/>
      <c r="BB126" s="21"/>
    </row>
    <row collapsed="false" customFormat="false" customHeight="true" hidden="false" ht="15.75" outlineLevel="0" r="127">
      <c r="A127" s="32"/>
      <c r="B127" s="32"/>
      <c r="C127" s="50" t="n">
        <v>6</v>
      </c>
      <c r="D127" s="165" t="s">
        <v>83</v>
      </c>
      <c r="E127" s="166" t="s">
        <v>76</v>
      </c>
      <c r="F127" s="53" t="s">
        <v>64</v>
      </c>
      <c r="G127" s="54" t="s">
        <v>105</v>
      </c>
      <c r="H127" s="55" t="n">
        <v>46023</v>
      </c>
      <c r="I127" s="55" t="n">
        <v>46037</v>
      </c>
      <c r="J127" s="56" t="n">
        <v>60</v>
      </c>
      <c r="K127" s="57"/>
      <c r="L127" s="172"/>
      <c r="M127" s="168"/>
      <c r="N127" s="169" t="n">
        <v>50000</v>
      </c>
      <c r="O127" s="60" t="n">
        <f aca="false">15*8</f>
        <v>120</v>
      </c>
      <c r="P127" s="59" t="n">
        <f aca="false">N127/O127*(J127+K127+L127+M127)</f>
        <v>25000</v>
      </c>
      <c r="Q127" s="61" t="n">
        <v>10909</v>
      </c>
      <c r="R127" s="62"/>
      <c r="S127" s="62"/>
      <c r="T127" s="62"/>
      <c r="U127" s="62"/>
      <c r="V127" s="62"/>
      <c r="W127" s="159"/>
      <c r="X127" s="65" t="n">
        <f aca="false">SUM(P127:W127)</f>
        <v>35909</v>
      </c>
      <c r="Y127" s="66"/>
      <c r="Z127" s="67" t="n">
        <f aca="false">AG45</f>
        <v>3</v>
      </c>
      <c r="AA127" s="68" t="n">
        <f aca="false">X127+Y127+Z127</f>
        <v>35912</v>
      </c>
      <c r="AB127" s="69"/>
      <c r="AC127" s="70" t="n">
        <v>11600.33</v>
      </c>
      <c r="AD127" s="173" t="n">
        <v>24000</v>
      </c>
      <c r="AE127" s="71" t="n">
        <f aca="false">AC127+AD127+AB127</f>
        <v>35600.33</v>
      </c>
      <c r="AF127" s="72" t="n">
        <f aca="false">AE127+AE128</f>
        <v>35600.33</v>
      </c>
      <c r="AG127" s="71" t="n">
        <f aca="false">AA127-AE127</f>
        <v>311.669999999998</v>
      </c>
      <c r="AH127" s="170"/>
      <c r="AI127" s="161" t="n">
        <f aca="false">AD127</f>
        <v>24000</v>
      </c>
      <c r="AJ127" s="75"/>
      <c r="AK127" s="75"/>
      <c r="AL127" s="75"/>
      <c r="AM127" s="76" t="n">
        <f aca="false">AC127</f>
        <v>11600.33</v>
      </c>
      <c r="AN127" s="75"/>
      <c r="AO127" s="74" t="n">
        <f aca="false">AD128</f>
        <v>0</v>
      </c>
      <c r="AP127" s="75"/>
      <c r="AQ127" s="75"/>
      <c r="AR127" s="75"/>
      <c r="AS127" s="76" t="n">
        <f aca="false">AC128</f>
        <v>0</v>
      </c>
      <c r="AT127" s="76"/>
      <c r="AU127" s="21"/>
      <c r="AV127" s="21"/>
      <c r="AW127" s="21"/>
      <c r="AX127" s="21"/>
      <c r="AY127" s="21"/>
      <c r="AZ127" s="21"/>
      <c r="BA127" s="21"/>
      <c r="BB127" s="21"/>
    </row>
    <row collapsed="false" customFormat="false" customHeight="true" hidden="false" ht="15.75" outlineLevel="0" r="128">
      <c r="A128" s="32"/>
      <c r="B128" s="32"/>
      <c r="C128" s="50"/>
      <c r="D128" s="165"/>
      <c r="E128" s="166"/>
      <c r="F128" s="53" t="s">
        <v>64</v>
      </c>
      <c r="G128" s="54" t="s">
        <v>105</v>
      </c>
      <c r="H128" s="79" t="n">
        <v>46037</v>
      </c>
      <c r="I128" s="79" t="n">
        <v>46053</v>
      </c>
      <c r="J128" s="56" t="n">
        <v>60</v>
      </c>
      <c r="K128" s="81"/>
      <c r="L128" s="82"/>
      <c r="M128" s="171"/>
      <c r="N128" s="169" t="n">
        <v>50000</v>
      </c>
      <c r="O128" s="60" t="n">
        <f aca="false">15*8</f>
        <v>120</v>
      </c>
      <c r="P128" s="59" t="n">
        <f aca="false">N128/O128*(J128+K128+L128+M128)</f>
        <v>25000</v>
      </c>
      <c r="Q128" s="84"/>
      <c r="R128" s="85"/>
      <c r="S128" s="85"/>
      <c r="T128" s="85"/>
      <c r="U128" s="85"/>
      <c r="V128" s="85"/>
      <c r="W128" s="87"/>
      <c r="X128" s="65" t="n">
        <f aca="false">SUM(P128:W128)</f>
        <v>25000</v>
      </c>
      <c r="Y128" s="88"/>
      <c r="Z128" s="89" t="n">
        <f aca="false">Z127</f>
        <v>3</v>
      </c>
      <c r="AA128" s="68" t="n">
        <f aca="false">X128+Y128+Z128</f>
        <v>25003</v>
      </c>
      <c r="AB128" s="91"/>
      <c r="AC128" s="103"/>
      <c r="AD128" s="92"/>
      <c r="AE128" s="71" t="n">
        <f aca="false">AC128+AD128+AB128</f>
        <v>0</v>
      </c>
      <c r="AF128" s="72"/>
      <c r="AG128" s="104" t="n">
        <f aca="false">AA128-AE128</f>
        <v>25003</v>
      </c>
      <c r="AH128" s="163"/>
      <c r="AI128" s="161"/>
      <c r="AJ128" s="75"/>
      <c r="AK128" s="75"/>
      <c r="AL128" s="75"/>
      <c r="AM128" s="76"/>
      <c r="AN128" s="75"/>
      <c r="AO128" s="74"/>
      <c r="AP128" s="75"/>
      <c r="AQ128" s="75"/>
      <c r="AR128" s="75"/>
      <c r="AS128" s="76"/>
      <c r="AT128" s="76"/>
      <c r="AU128" s="21"/>
      <c r="AV128" s="21"/>
      <c r="AW128" s="21"/>
      <c r="AX128" s="21"/>
      <c r="AY128" s="21"/>
      <c r="AZ128" s="21"/>
      <c r="BA128" s="21"/>
      <c r="BB128" s="21"/>
    </row>
    <row collapsed="false" customFormat="false" customHeight="true" hidden="false" ht="15.75" outlineLevel="0" r="129">
      <c r="A129" s="32"/>
      <c r="B129" s="32"/>
      <c r="C129" s="50" t="n">
        <v>7</v>
      </c>
      <c r="D129" s="165" t="s">
        <v>84</v>
      </c>
      <c r="E129" s="166" t="s">
        <v>76</v>
      </c>
      <c r="F129" s="53" t="s">
        <v>64</v>
      </c>
      <c r="G129" s="54" t="s">
        <v>105</v>
      </c>
      <c r="H129" s="55" t="n">
        <v>46023</v>
      </c>
      <c r="I129" s="55" t="n">
        <v>46037</v>
      </c>
      <c r="J129" s="56" t="n">
        <v>60</v>
      </c>
      <c r="K129" s="57"/>
      <c r="L129" s="172"/>
      <c r="M129" s="168"/>
      <c r="N129" s="169" t="n">
        <v>50000</v>
      </c>
      <c r="O129" s="60" t="n">
        <f aca="false">15*8</f>
        <v>120</v>
      </c>
      <c r="P129" s="59" t="n">
        <f aca="false">N129/O129*(J129+K129+L129+M129)</f>
        <v>25000</v>
      </c>
      <c r="Q129" s="61" t="n">
        <v>10909</v>
      </c>
      <c r="R129" s="62"/>
      <c r="S129" s="62"/>
      <c r="T129" s="62"/>
      <c r="U129" s="62"/>
      <c r="V129" s="62"/>
      <c r="W129" s="159"/>
      <c r="X129" s="65" t="n">
        <f aca="false">SUM(P129:W129)</f>
        <v>35909</v>
      </c>
      <c r="Y129" s="66"/>
      <c r="Z129" s="67" t="n">
        <f aca="false">AG47</f>
        <v>3</v>
      </c>
      <c r="AA129" s="68" t="n">
        <f aca="false">X129+Y129+Z129</f>
        <v>35912</v>
      </c>
      <c r="AB129" s="69"/>
      <c r="AC129" s="70" t="n">
        <v>11600.33</v>
      </c>
      <c r="AD129" s="173" t="n">
        <v>24000</v>
      </c>
      <c r="AE129" s="71" t="n">
        <f aca="false">AC129+AD129+AB129</f>
        <v>35600.33</v>
      </c>
      <c r="AF129" s="72" t="n">
        <f aca="false">AE129+AE130</f>
        <v>35600.33</v>
      </c>
      <c r="AG129" s="71" t="n">
        <f aca="false">AA129-AE129</f>
        <v>311.669999999998</v>
      </c>
      <c r="AH129" s="170"/>
      <c r="AI129" s="161" t="n">
        <f aca="false">AD129</f>
        <v>24000</v>
      </c>
      <c r="AJ129" s="75"/>
      <c r="AK129" s="75"/>
      <c r="AL129" s="75"/>
      <c r="AM129" s="76" t="n">
        <f aca="false">AC129</f>
        <v>11600.33</v>
      </c>
      <c r="AN129" s="75"/>
      <c r="AO129" s="74" t="n">
        <f aca="false">AD130</f>
        <v>0</v>
      </c>
      <c r="AP129" s="75"/>
      <c r="AQ129" s="75"/>
      <c r="AR129" s="75"/>
      <c r="AS129" s="76" t="n">
        <f aca="false">AC130</f>
        <v>0</v>
      </c>
      <c r="AT129" s="76"/>
      <c r="AU129" s="21"/>
      <c r="AV129" s="21"/>
      <c r="AW129" s="21"/>
      <c r="AX129" s="21"/>
      <c r="AY129" s="21"/>
      <c r="AZ129" s="21"/>
      <c r="BA129" s="21"/>
      <c r="BB129" s="21"/>
    </row>
    <row collapsed="false" customFormat="false" customHeight="true" hidden="false" ht="15.75" outlineLevel="0" r="130">
      <c r="A130" s="32"/>
      <c r="B130" s="32"/>
      <c r="C130" s="50"/>
      <c r="D130" s="165"/>
      <c r="E130" s="166"/>
      <c r="F130" s="53" t="s">
        <v>64</v>
      </c>
      <c r="G130" s="54" t="s">
        <v>105</v>
      </c>
      <c r="H130" s="79" t="n">
        <v>46037</v>
      </c>
      <c r="I130" s="79" t="n">
        <v>46053</v>
      </c>
      <c r="J130" s="56" t="n">
        <v>60</v>
      </c>
      <c r="K130" s="81"/>
      <c r="L130" s="82" t="n">
        <v>16</v>
      </c>
      <c r="M130" s="171"/>
      <c r="N130" s="169" t="n">
        <v>50000</v>
      </c>
      <c r="O130" s="60" t="n">
        <f aca="false">15*8</f>
        <v>120</v>
      </c>
      <c r="P130" s="59" t="n">
        <f aca="false">N130/O130*(J130+K130+L130+M130)</f>
        <v>31666.6666666667</v>
      </c>
      <c r="Q130" s="84"/>
      <c r="R130" s="85"/>
      <c r="S130" s="85"/>
      <c r="T130" s="85"/>
      <c r="U130" s="85"/>
      <c r="V130" s="85"/>
      <c r="W130" s="87"/>
      <c r="X130" s="65" t="n">
        <f aca="false">SUM(P130:W130)</f>
        <v>31666.6666666667</v>
      </c>
      <c r="Y130" s="88"/>
      <c r="Z130" s="89" t="n">
        <f aca="false">Z129</f>
        <v>3</v>
      </c>
      <c r="AA130" s="68" t="n">
        <f aca="false">X130+Y130+Z130</f>
        <v>31669.6666666667</v>
      </c>
      <c r="AB130" s="91"/>
      <c r="AC130" s="103"/>
      <c r="AD130" s="92"/>
      <c r="AE130" s="71" t="n">
        <f aca="false">AC130+AD130+AB130</f>
        <v>0</v>
      </c>
      <c r="AF130" s="72"/>
      <c r="AG130" s="104" t="n">
        <f aca="false">AA130-AE130</f>
        <v>31669.6666666667</v>
      </c>
      <c r="AH130" s="163"/>
      <c r="AI130" s="161"/>
      <c r="AJ130" s="75"/>
      <c r="AK130" s="75"/>
      <c r="AL130" s="75"/>
      <c r="AM130" s="76"/>
      <c r="AN130" s="75"/>
      <c r="AO130" s="74"/>
      <c r="AP130" s="75"/>
      <c r="AQ130" s="75"/>
      <c r="AR130" s="75"/>
      <c r="AS130" s="76"/>
      <c r="AT130" s="76"/>
      <c r="AU130" s="21"/>
      <c r="AV130" s="21"/>
      <c r="AW130" s="21"/>
      <c r="AX130" s="21"/>
      <c r="AY130" s="21"/>
      <c r="AZ130" s="21"/>
      <c r="BA130" s="21"/>
      <c r="BB130" s="21"/>
    </row>
    <row collapsed="false" customFormat="false" customHeight="true" hidden="false" ht="15.75" outlineLevel="0" r="131">
      <c r="A131" s="32"/>
      <c r="B131" s="32"/>
      <c r="C131" s="50" t="n">
        <v>8</v>
      </c>
      <c r="D131" s="165" t="s">
        <v>85</v>
      </c>
      <c r="E131" s="166" t="s">
        <v>76</v>
      </c>
      <c r="F131" s="53" t="s">
        <v>64</v>
      </c>
      <c r="G131" s="54" t="s">
        <v>105</v>
      </c>
      <c r="H131" s="55" t="n">
        <v>46023</v>
      </c>
      <c r="I131" s="55" t="n">
        <v>46037</v>
      </c>
      <c r="J131" s="56" t="n">
        <v>60</v>
      </c>
      <c r="K131" s="57"/>
      <c r="L131" s="159"/>
      <c r="M131" s="168"/>
      <c r="N131" s="169" t="n">
        <v>80000</v>
      </c>
      <c r="O131" s="60" t="n">
        <f aca="false">15*8</f>
        <v>120</v>
      </c>
      <c r="P131" s="59" t="n">
        <f aca="false">N131/O131*(J131+K131+L131+M131)</f>
        <v>40000</v>
      </c>
      <c r="Q131" s="67" t="n">
        <v>51728</v>
      </c>
      <c r="R131" s="62"/>
      <c r="S131" s="62"/>
      <c r="T131" s="62"/>
      <c r="U131" s="62"/>
      <c r="V131" s="62"/>
      <c r="W131" s="64"/>
      <c r="X131" s="65" t="n">
        <f aca="false">SUM(P131:W131)</f>
        <v>91728</v>
      </c>
      <c r="Y131" s="66"/>
      <c r="Z131" s="67" t="n">
        <f aca="false">AG49</f>
        <v>218.999999999993</v>
      </c>
      <c r="AA131" s="68" t="n">
        <f aca="false">X131+Y131+Z131</f>
        <v>91947</v>
      </c>
      <c r="AB131" s="69"/>
      <c r="AC131" s="121"/>
      <c r="AD131" s="71" t="n">
        <v>92000</v>
      </c>
      <c r="AE131" s="71" t="n">
        <f aca="false">AC131+AD131+AB131</f>
        <v>92000</v>
      </c>
      <c r="AF131" s="72" t="n">
        <f aca="false">AE131+AE132</f>
        <v>92000</v>
      </c>
      <c r="AG131" s="71" t="n">
        <f aca="false">AA131-AE131</f>
        <v>-53</v>
      </c>
      <c r="AH131" s="170"/>
      <c r="AI131" s="161" t="n">
        <f aca="false">AD131</f>
        <v>92000</v>
      </c>
      <c r="AJ131" s="75"/>
      <c r="AK131" s="75"/>
      <c r="AL131" s="75"/>
      <c r="AM131" s="75" t="n">
        <f aca="false">AC131</f>
        <v>0</v>
      </c>
      <c r="AN131" s="75"/>
      <c r="AO131" s="74" t="n">
        <f aca="false">AD132</f>
        <v>0</v>
      </c>
      <c r="AP131" s="75"/>
      <c r="AQ131" s="75"/>
      <c r="AR131" s="75"/>
      <c r="AS131" s="76" t="n">
        <f aca="false">AC132</f>
        <v>0</v>
      </c>
      <c r="AT131" s="75"/>
      <c r="AU131" s="21"/>
      <c r="AV131" s="21"/>
      <c r="AW131" s="21"/>
      <c r="AX131" s="21"/>
      <c r="AY131" s="21"/>
      <c r="AZ131" s="21"/>
      <c r="BA131" s="21"/>
      <c r="BB131" s="21"/>
    </row>
    <row collapsed="false" customFormat="false" customHeight="true" hidden="false" ht="15.75" outlineLevel="0" r="132">
      <c r="A132" s="32"/>
      <c r="B132" s="32"/>
      <c r="C132" s="50"/>
      <c r="D132" s="165"/>
      <c r="E132" s="166"/>
      <c r="F132" s="78"/>
      <c r="G132" s="54" t="s">
        <v>105</v>
      </c>
      <c r="H132" s="79" t="n">
        <v>46037</v>
      </c>
      <c r="I132" s="79" t="n">
        <v>46053</v>
      </c>
      <c r="J132" s="56" t="n">
        <v>60</v>
      </c>
      <c r="K132" s="81"/>
      <c r="L132" s="82"/>
      <c r="M132" s="171"/>
      <c r="N132" s="169" t="n">
        <v>80000</v>
      </c>
      <c r="O132" s="60" t="n">
        <f aca="false">15*8</f>
        <v>120</v>
      </c>
      <c r="P132" s="59" t="n">
        <f aca="false">N132/O132*(J132+K132+L132+M132)</f>
        <v>40000</v>
      </c>
      <c r="Q132" s="84"/>
      <c r="R132" s="85"/>
      <c r="S132" s="85"/>
      <c r="T132" s="85"/>
      <c r="U132" s="85"/>
      <c r="V132" s="85"/>
      <c r="W132" s="87"/>
      <c r="X132" s="88" t="n">
        <f aca="false">SUM(P132:W132)</f>
        <v>40000</v>
      </c>
      <c r="Y132" s="88"/>
      <c r="Z132" s="89" t="n">
        <f aca="false">AG131</f>
        <v>-53</v>
      </c>
      <c r="AA132" s="90" t="n">
        <f aca="false">X132+Y132+Z132</f>
        <v>39947</v>
      </c>
      <c r="AB132" s="91"/>
      <c r="AC132" s="111"/>
      <c r="AD132" s="92"/>
      <c r="AE132" s="92" t="n">
        <f aca="false">AC132+AD132+AB132</f>
        <v>0</v>
      </c>
      <c r="AF132" s="92"/>
      <c r="AG132" s="104" t="n">
        <f aca="false">AA132-AE132</f>
        <v>39947</v>
      </c>
      <c r="AH132" s="163"/>
      <c r="AI132" s="161"/>
      <c r="AJ132" s="75"/>
      <c r="AK132" s="75"/>
      <c r="AL132" s="75"/>
      <c r="AM132" s="75"/>
      <c r="AN132" s="75"/>
      <c r="AO132" s="74"/>
      <c r="AP132" s="75"/>
      <c r="AQ132" s="75"/>
      <c r="AR132" s="75"/>
      <c r="AS132" s="76"/>
      <c r="AT132" s="75"/>
      <c r="AU132" s="21"/>
      <c r="AV132" s="21"/>
      <c r="AW132" s="21"/>
      <c r="AX132" s="21"/>
      <c r="AY132" s="21"/>
      <c r="AZ132" s="21"/>
      <c r="BA132" s="21"/>
      <c r="BB132" s="21"/>
    </row>
    <row collapsed="false" customFormat="false" customHeight="true" hidden="false" ht="15.75" outlineLevel="0" r="133">
      <c r="A133" s="32"/>
      <c r="B133" s="32"/>
      <c r="C133" s="50" t="n">
        <v>9</v>
      </c>
      <c r="D133" s="175" t="s">
        <v>87</v>
      </c>
      <c r="E133" s="176" t="s">
        <v>88</v>
      </c>
      <c r="F133" s="53" t="s">
        <v>64</v>
      </c>
      <c r="G133" s="54" t="s">
        <v>105</v>
      </c>
      <c r="H133" s="55" t="n">
        <v>46023</v>
      </c>
      <c r="I133" s="55" t="n">
        <v>46037</v>
      </c>
      <c r="J133" s="56" t="n">
        <v>60</v>
      </c>
      <c r="K133" s="57"/>
      <c r="L133" s="159"/>
      <c r="M133" s="58"/>
      <c r="N133" s="59" t="n">
        <v>110000</v>
      </c>
      <c r="O133" s="60" t="n">
        <f aca="false">15*8</f>
        <v>120</v>
      </c>
      <c r="P133" s="59" t="n">
        <f aca="false">N133/O133*(J133+K133+L133+M133)</f>
        <v>55000</v>
      </c>
      <c r="Q133" s="67" t="n">
        <v>5000</v>
      </c>
      <c r="R133" s="62"/>
      <c r="S133" s="62"/>
      <c r="T133" s="62"/>
      <c r="U133" s="62"/>
      <c r="V133" s="62"/>
      <c r="W133" s="64"/>
      <c r="X133" s="65" t="n">
        <f aca="false">SUM(P133:W133)</f>
        <v>60000</v>
      </c>
      <c r="Y133" s="66"/>
      <c r="Z133" s="67" t="n">
        <f aca="false">AG51</f>
        <v>-107.899999999998</v>
      </c>
      <c r="AA133" s="68" t="n">
        <f aca="false">X133+Y133+Z133</f>
        <v>59892.1</v>
      </c>
      <c r="AB133" s="69"/>
      <c r="AC133" s="70" t="n">
        <v>11600.33</v>
      </c>
      <c r="AD133" s="71" t="n">
        <v>48000</v>
      </c>
      <c r="AE133" s="92" t="n">
        <f aca="false">AC133+AD133+AB133</f>
        <v>59600.33</v>
      </c>
      <c r="AF133" s="72" t="n">
        <f aca="false">AE133+AE134</f>
        <v>59600.33</v>
      </c>
      <c r="AG133" s="71" t="n">
        <f aca="false">AA133-AE133</f>
        <v>291.770000000004</v>
      </c>
      <c r="AH133" s="177"/>
      <c r="AI133" s="161" t="n">
        <f aca="false">AD133</f>
        <v>48000</v>
      </c>
      <c r="AJ133" s="75"/>
      <c r="AK133" s="75"/>
      <c r="AL133" s="75"/>
      <c r="AM133" s="76" t="n">
        <f aca="false">AC133</f>
        <v>11600.33</v>
      </c>
      <c r="AN133" s="76"/>
      <c r="AO133" s="74" t="n">
        <f aca="false">AD134</f>
        <v>0</v>
      </c>
      <c r="AP133" s="75"/>
      <c r="AQ133" s="75"/>
      <c r="AR133" s="75"/>
      <c r="AS133" s="76" t="n">
        <f aca="false">AC134</f>
        <v>0</v>
      </c>
      <c r="AT133" s="76"/>
      <c r="AU133" s="21"/>
      <c r="AV133" s="21"/>
      <c r="AW133" s="21"/>
      <c r="AX133" s="21"/>
      <c r="AY133" s="21"/>
      <c r="AZ133" s="21"/>
      <c r="BA133" s="21"/>
      <c r="BB133" s="21"/>
    </row>
    <row collapsed="false" customFormat="false" customHeight="true" hidden="false" ht="15.75" outlineLevel="0" r="134">
      <c r="A134" s="32"/>
      <c r="B134" s="32"/>
      <c r="C134" s="50"/>
      <c r="D134" s="175"/>
      <c r="E134" s="176"/>
      <c r="F134" s="78"/>
      <c r="G134" s="54" t="s">
        <v>105</v>
      </c>
      <c r="H134" s="79" t="n">
        <v>46037</v>
      </c>
      <c r="I134" s="79" t="n">
        <v>46053</v>
      </c>
      <c r="J134" s="56" t="n">
        <v>60</v>
      </c>
      <c r="K134" s="81"/>
      <c r="L134" s="82"/>
      <c r="M134" s="108"/>
      <c r="N134" s="83" t="n">
        <v>110000</v>
      </c>
      <c r="O134" s="60" t="n">
        <f aca="false">15*8</f>
        <v>120</v>
      </c>
      <c r="P134" s="59" t="n">
        <f aca="false">N134/O134*(J134+K134+L134+M134)</f>
        <v>55000</v>
      </c>
      <c r="Q134" s="84"/>
      <c r="R134" s="85"/>
      <c r="S134" s="85"/>
      <c r="T134" s="85"/>
      <c r="U134" s="85"/>
      <c r="V134" s="85"/>
      <c r="W134" s="87"/>
      <c r="X134" s="88" t="n">
        <f aca="false">SUM(P134:W134)</f>
        <v>55000</v>
      </c>
      <c r="Y134" s="88"/>
      <c r="Z134" s="89" t="n">
        <f aca="false">AG133</f>
        <v>291.770000000004</v>
      </c>
      <c r="AA134" s="90" t="n">
        <f aca="false">X134+Y134+Z134</f>
        <v>55291.77</v>
      </c>
      <c r="AB134" s="91"/>
      <c r="AC134" s="103"/>
      <c r="AD134" s="92"/>
      <c r="AE134" s="92" t="n">
        <f aca="false">AC134+AD134+AB134</f>
        <v>0</v>
      </c>
      <c r="AF134" s="92"/>
      <c r="AG134" s="178" t="n">
        <f aca="false">AA134-AE134</f>
        <v>55291.77</v>
      </c>
      <c r="AH134" s="177"/>
      <c r="AI134" s="161"/>
      <c r="AJ134" s="75"/>
      <c r="AK134" s="75"/>
      <c r="AL134" s="75"/>
      <c r="AM134" s="76"/>
      <c r="AN134" s="76"/>
      <c r="AO134" s="74"/>
      <c r="AP134" s="75"/>
      <c r="AQ134" s="75"/>
      <c r="AR134" s="75"/>
      <c r="AS134" s="76"/>
      <c r="AT134" s="76"/>
      <c r="AU134" s="21"/>
      <c r="AV134" s="21"/>
      <c r="AW134" s="21"/>
      <c r="AX134" s="21"/>
      <c r="AY134" s="21"/>
      <c r="AZ134" s="21"/>
      <c r="BA134" s="21"/>
      <c r="BB134" s="21"/>
    </row>
    <row collapsed="false" customFormat="false" customHeight="true" hidden="false" ht="15.75" outlineLevel="0" r="135">
      <c r="A135" s="32"/>
      <c r="B135" s="32"/>
      <c r="C135" s="50" t="n">
        <v>10</v>
      </c>
      <c r="D135" s="175" t="s">
        <v>89</v>
      </c>
      <c r="E135" s="176" t="s">
        <v>88</v>
      </c>
      <c r="F135" s="53" t="s">
        <v>64</v>
      </c>
      <c r="G135" s="54" t="s">
        <v>105</v>
      </c>
      <c r="H135" s="55" t="n">
        <v>46023</v>
      </c>
      <c r="I135" s="55" t="n">
        <v>46037</v>
      </c>
      <c r="J135" s="56" t="n">
        <v>60</v>
      </c>
      <c r="K135" s="57"/>
      <c r="L135" s="159"/>
      <c r="M135" s="58"/>
      <c r="N135" s="169" t="n">
        <v>75000</v>
      </c>
      <c r="O135" s="60" t="n">
        <f aca="false">15*8</f>
        <v>120</v>
      </c>
      <c r="P135" s="59" t="n">
        <f aca="false">N135/O135*(J135+K135+L135+M135)</f>
        <v>37500</v>
      </c>
      <c r="Q135" s="67" t="n">
        <v>20000</v>
      </c>
      <c r="R135" s="62"/>
      <c r="S135" s="62"/>
      <c r="T135" s="62"/>
      <c r="U135" s="62"/>
      <c r="V135" s="62"/>
      <c r="W135" s="64" t="n">
        <v>5000</v>
      </c>
      <c r="X135" s="65" t="n">
        <f aca="false">SUM(P135:W135)</f>
        <v>62500</v>
      </c>
      <c r="Y135" s="66"/>
      <c r="Z135" s="67" t="n">
        <f aca="false">AG53</f>
        <v>-212</v>
      </c>
      <c r="AA135" s="68" t="n">
        <f aca="false">X135+Y135+Z135</f>
        <v>62288</v>
      </c>
      <c r="AB135" s="69"/>
      <c r="AC135" s="70" t="n">
        <v>11600.33</v>
      </c>
      <c r="AD135" s="71" t="n">
        <v>50500</v>
      </c>
      <c r="AE135" s="92" t="n">
        <f aca="false">AC135+AD135+AB135</f>
        <v>62100.33</v>
      </c>
      <c r="AF135" s="72" t="n">
        <f aca="false">AE135+AE136</f>
        <v>62100.33</v>
      </c>
      <c r="AG135" s="71" t="n">
        <f aca="false">AA135-AE135</f>
        <v>187.669999999998</v>
      </c>
      <c r="AH135" s="177"/>
      <c r="AI135" s="161" t="n">
        <f aca="false">AD135</f>
        <v>50500</v>
      </c>
      <c r="AJ135" s="75"/>
      <c r="AK135" s="75"/>
      <c r="AL135" s="75"/>
      <c r="AM135" s="76" t="n">
        <f aca="false">AC135</f>
        <v>11600.33</v>
      </c>
      <c r="AN135" s="76"/>
      <c r="AO135" s="74" t="n">
        <f aca="false">AD136</f>
        <v>0</v>
      </c>
      <c r="AP135" s="75"/>
      <c r="AQ135" s="75"/>
      <c r="AR135" s="75"/>
      <c r="AS135" s="76" t="n">
        <f aca="false">AC136</f>
        <v>0</v>
      </c>
      <c r="AT135" s="76"/>
      <c r="AU135" s="21"/>
      <c r="AV135" s="21"/>
      <c r="AW135" s="21"/>
      <c r="AX135" s="21"/>
      <c r="AY135" s="21"/>
      <c r="AZ135" s="21"/>
      <c r="BA135" s="21"/>
      <c r="BB135" s="21"/>
    </row>
    <row collapsed="false" customFormat="false" customHeight="true" hidden="false" ht="15.75" outlineLevel="0" r="136">
      <c r="A136" s="32"/>
      <c r="B136" s="32"/>
      <c r="C136" s="50"/>
      <c r="D136" s="175"/>
      <c r="E136" s="176"/>
      <c r="F136" s="78"/>
      <c r="G136" s="54" t="s">
        <v>105</v>
      </c>
      <c r="H136" s="79" t="n">
        <v>46037</v>
      </c>
      <c r="I136" s="79" t="n">
        <v>46053</v>
      </c>
      <c r="J136" s="56" t="n">
        <v>60</v>
      </c>
      <c r="K136" s="81"/>
      <c r="L136" s="82"/>
      <c r="M136" s="108"/>
      <c r="N136" s="169" t="n">
        <v>75000</v>
      </c>
      <c r="O136" s="60" t="n">
        <f aca="false">15*8</f>
        <v>120</v>
      </c>
      <c r="P136" s="59" t="n">
        <f aca="false">N136/O136*(J136+K136+L136+M136)</f>
        <v>37500</v>
      </c>
      <c r="Q136" s="84"/>
      <c r="R136" s="85"/>
      <c r="S136" s="85"/>
      <c r="T136" s="85"/>
      <c r="U136" s="85"/>
      <c r="V136" s="85"/>
      <c r="W136" s="64" t="n">
        <v>5000</v>
      </c>
      <c r="X136" s="88" t="n">
        <f aca="false">SUM(P136:W136)</f>
        <v>42500</v>
      </c>
      <c r="Y136" s="88"/>
      <c r="Z136" s="89" t="n">
        <f aca="false">AG135</f>
        <v>187.669999999998</v>
      </c>
      <c r="AA136" s="90" t="n">
        <f aca="false">X136+Y136+Z136</f>
        <v>42687.67</v>
      </c>
      <c r="AB136" s="91"/>
      <c r="AC136" s="103"/>
      <c r="AD136" s="179"/>
      <c r="AE136" s="92" t="n">
        <f aca="false">AC136+AD136+AB136</f>
        <v>0</v>
      </c>
      <c r="AF136" s="92"/>
      <c r="AG136" s="178" t="n">
        <f aca="false">AA136-AE136</f>
        <v>42687.67</v>
      </c>
      <c r="AH136" s="177"/>
      <c r="AI136" s="161"/>
      <c r="AJ136" s="75"/>
      <c r="AK136" s="75"/>
      <c r="AL136" s="75"/>
      <c r="AM136" s="76"/>
      <c r="AN136" s="76"/>
      <c r="AO136" s="74"/>
      <c r="AP136" s="75"/>
      <c r="AQ136" s="75"/>
      <c r="AR136" s="75"/>
      <c r="AS136" s="76"/>
      <c r="AT136" s="76"/>
      <c r="AU136" s="21"/>
      <c r="AV136" s="21"/>
      <c r="AW136" s="21"/>
      <c r="AX136" s="21"/>
      <c r="AY136" s="21"/>
      <c r="AZ136" s="21"/>
      <c r="BA136" s="21"/>
      <c r="BB136" s="21"/>
    </row>
    <row collapsed="false" customFormat="false" customHeight="true" hidden="false" ht="15.75" outlineLevel="0" r="137">
      <c r="A137" s="32"/>
      <c r="B137" s="32"/>
      <c r="C137" s="50" t="n">
        <v>11</v>
      </c>
      <c r="D137" s="51" t="s">
        <v>91</v>
      </c>
      <c r="E137" s="52" t="s">
        <v>92</v>
      </c>
      <c r="F137" s="53" t="s">
        <v>64</v>
      </c>
      <c r="G137" s="54" t="s">
        <v>105</v>
      </c>
      <c r="H137" s="55" t="n">
        <v>46023</v>
      </c>
      <c r="I137" s="55" t="n">
        <v>46037</v>
      </c>
      <c r="J137" s="56" t="n">
        <v>60</v>
      </c>
      <c r="K137" s="57"/>
      <c r="L137" s="159"/>
      <c r="M137" s="58"/>
      <c r="N137" s="59" t="n">
        <v>175000</v>
      </c>
      <c r="O137" s="60" t="n">
        <f aca="false">15*8</f>
        <v>120</v>
      </c>
      <c r="P137" s="59" t="n">
        <f aca="false">N137/O137*(J137+K137+L137+M137)</f>
        <v>87500</v>
      </c>
      <c r="Q137" s="61"/>
      <c r="R137" s="62"/>
      <c r="S137" s="62"/>
      <c r="T137" s="62"/>
      <c r="U137" s="62"/>
      <c r="V137" s="62"/>
      <c r="W137" s="64"/>
      <c r="X137" s="65" t="n">
        <f aca="false">SUM(P137:W137)</f>
        <v>87500</v>
      </c>
      <c r="Y137" s="66"/>
      <c r="Z137" s="67" t="n">
        <f aca="false">AG55</f>
        <v>-16016</v>
      </c>
      <c r="AA137" s="68" t="n">
        <f aca="false">X137+Y137+Z137</f>
        <v>71484</v>
      </c>
      <c r="AB137" s="69" t="n">
        <v>41765</v>
      </c>
      <c r="AC137" s="70" t="n">
        <v>11600.33</v>
      </c>
      <c r="AD137" s="71" t="n">
        <v>68000</v>
      </c>
      <c r="AE137" s="71" t="n">
        <f aca="false">AC137+AD137+AB137</f>
        <v>121365.33</v>
      </c>
      <c r="AF137" s="72" t="n">
        <f aca="false">AE137+AE138</f>
        <v>163130.33</v>
      </c>
      <c r="AG137" s="71" t="n">
        <f aca="false">AA137-AE137</f>
        <v>-49881.33</v>
      </c>
      <c r="AH137" s="170"/>
      <c r="AI137" s="161" t="n">
        <f aca="false">AD137</f>
        <v>68000</v>
      </c>
      <c r="AJ137" s="75"/>
      <c r="AK137" s="75"/>
      <c r="AL137" s="75"/>
      <c r="AM137" s="76" t="n">
        <f aca="false">AC137</f>
        <v>11600.33</v>
      </c>
      <c r="AN137" s="76"/>
      <c r="AO137" s="74" t="n">
        <f aca="false">AD138</f>
        <v>0</v>
      </c>
      <c r="AP137" s="75"/>
      <c r="AQ137" s="75"/>
      <c r="AR137" s="75"/>
      <c r="AS137" s="76" t="n">
        <f aca="false">AC138</f>
        <v>0</v>
      </c>
      <c r="AT137" s="76"/>
      <c r="AU137" s="21"/>
      <c r="AV137" s="21"/>
      <c r="AW137" s="21"/>
      <c r="AX137" s="21"/>
      <c r="AY137" s="21"/>
      <c r="AZ137" s="21"/>
      <c r="BA137" s="21"/>
      <c r="BB137" s="21"/>
    </row>
    <row collapsed="false" customFormat="false" customHeight="true" hidden="false" ht="15.75" outlineLevel="0" r="138">
      <c r="A138" s="32"/>
      <c r="B138" s="32"/>
      <c r="C138" s="50"/>
      <c r="D138" s="51"/>
      <c r="E138" s="52"/>
      <c r="F138" s="78"/>
      <c r="G138" s="54" t="s">
        <v>105</v>
      </c>
      <c r="H138" s="79" t="n">
        <v>46037</v>
      </c>
      <c r="I138" s="79" t="n">
        <v>46053</v>
      </c>
      <c r="J138" s="56" t="n">
        <v>60</v>
      </c>
      <c r="K138" s="81"/>
      <c r="L138" s="82"/>
      <c r="M138" s="108"/>
      <c r="N138" s="83" t="n">
        <v>175000</v>
      </c>
      <c r="O138" s="60" t="n">
        <f aca="false">15*8</f>
        <v>120</v>
      </c>
      <c r="P138" s="59" t="n">
        <f aca="false">N138/O138*(J138+K138+L138+M138)</f>
        <v>87500</v>
      </c>
      <c r="Q138" s="84"/>
      <c r="R138" s="85"/>
      <c r="S138" s="85"/>
      <c r="T138" s="85"/>
      <c r="U138" s="85"/>
      <c r="V138" s="85"/>
      <c r="W138" s="87"/>
      <c r="X138" s="88" t="n">
        <f aca="false">SUM(P138:W138)</f>
        <v>87500</v>
      </c>
      <c r="Y138" s="88"/>
      <c r="Z138" s="89" t="n">
        <f aca="false">AG137</f>
        <v>-49881.33</v>
      </c>
      <c r="AA138" s="90" t="n">
        <f aca="false">X138+Y138+Z138</f>
        <v>37618.67</v>
      </c>
      <c r="AB138" s="69" t="n">
        <v>41765</v>
      </c>
      <c r="AC138" s="180"/>
      <c r="AD138" s="92"/>
      <c r="AE138" s="92" t="n">
        <f aca="false">AC138+AD138+AB138</f>
        <v>41765</v>
      </c>
      <c r="AF138" s="92"/>
      <c r="AG138" s="178" t="n">
        <f aca="false">AA138-AE138</f>
        <v>-4146.33</v>
      </c>
      <c r="AH138" s="163"/>
      <c r="AI138" s="161"/>
      <c r="AJ138" s="75"/>
      <c r="AK138" s="75"/>
      <c r="AL138" s="75"/>
      <c r="AM138" s="76"/>
      <c r="AN138" s="76"/>
      <c r="AO138" s="74"/>
      <c r="AP138" s="75"/>
      <c r="AQ138" s="75"/>
      <c r="AR138" s="75"/>
      <c r="AS138" s="76"/>
      <c r="AT138" s="76"/>
      <c r="AU138" s="21"/>
      <c r="AV138" s="21"/>
      <c r="AW138" s="21"/>
      <c r="AX138" s="21"/>
      <c r="AY138" s="21"/>
      <c r="AZ138" s="21"/>
      <c r="BA138" s="21"/>
      <c r="BB138" s="21"/>
    </row>
    <row collapsed="false" customFormat="false" customHeight="true" hidden="false" ht="15.75" outlineLevel="0" r="139">
      <c r="A139" s="32"/>
      <c r="B139" s="32"/>
      <c r="C139" s="50" t="n">
        <v>12</v>
      </c>
      <c r="D139" s="181" t="s">
        <v>93</v>
      </c>
      <c r="E139" s="182" t="s">
        <v>94</v>
      </c>
      <c r="F139" s="53" t="s">
        <v>64</v>
      </c>
      <c r="G139" s="54" t="s">
        <v>105</v>
      </c>
      <c r="H139" s="55" t="n">
        <v>46023</v>
      </c>
      <c r="I139" s="55" t="n">
        <v>46037</v>
      </c>
      <c r="J139" s="56"/>
      <c r="K139" s="57"/>
      <c r="L139" s="159"/>
      <c r="M139" s="58"/>
      <c r="N139" s="169"/>
      <c r="O139" s="60"/>
      <c r="P139" s="59"/>
      <c r="Q139" s="61"/>
      <c r="R139" s="62"/>
      <c r="S139" s="62"/>
      <c r="T139" s="62"/>
      <c r="U139" s="62"/>
      <c r="V139" s="62"/>
      <c r="W139" s="64"/>
      <c r="X139" s="65"/>
      <c r="Y139" s="66"/>
      <c r="Z139" s="67"/>
      <c r="AA139" s="68"/>
      <c r="AB139" s="69"/>
      <c r="AC139" s="70"/>
      <c r="AD139" s="71"/>
      <c r="AE139" s="71"/>
      <c r="AF139" s="72"/>
      <c r="AG139" s="71"/>
      <c r="AH139" s="122"/>
      <c r="AI139" s="161" t="n">
        <f aca="false">AD139</f>
        <v>0</v>
      </c>
      <c r="AJ139" s="75"/>
      <c r="AK139" s="75"/>
      <c r="AL139" s="75"/>
      <c r="AM139" s="76" t="n">
        <f aca="false">AC139</f>
        <v>0</v>
      </c>
      <c r="AN139" s="76"/>
      <c r="AO139" s="74" t="n">
        <f aca="false">AD140</f>
        <v>0</v>
      </c>
      <c r="AP139" s="75"/>
      <c r="AQ139" s="75"/>
      <c r="AR139" s="75"/>
      <c r="AS139" s="76" t="n">
        <f aca="false">AC140</f>
        <v>0</v>
      </c>
      <c r="AT139" s="76"/>
      <c r="AU139" s="21"/>
      <c r="AV139" s="21"/>
      <c r="AW139" s="21"/>
      <c r="AX139" s="21"/>
      <c r="AY139" s="21"/>
      <c r="AZ139" s="21"/>
      <c r="BA139" s="21"/>
      <c r="BB139" s="21"/>
    </row>
    <row collapsed="false" customFormat="false" customHeight="true" hidden="false" ht="15.75" outlineLevel="0" r="140">
      <c r="A140" s="32"/>
      <c r="B140" s="32"/>
      <c r="C140" s="50"/>
      <c r="D140" s="181"/>
      <c r="E140" s="182"/>
      <c r="F140" s="78"/>
      <c r="G140" s="54" t="s">
        <v>105</v>
      </c>
      <c r="H140" s="79" t="n">
        <v>46037</v>
      </c>
      <c r="I140" s="79" t="n">
        <v>46053</v>
      </c>
      <c r="J140" s="56"/>
      <c r="K140" s="81"/>
      <c r="L140" s="82"/>
      <c r="M140" s="108"/>
      <c r="N140" s="162"/>
      <c r="O140" s="60"/>
      <c r="P140" s="59"/>
      <c r="Q140" s="84"/>
      <c r="R140" s="85"/>
      <c r="S140" s="85"/>
      <c r="T140" s="85"/>
      <c r="U140" s="85"/>
      <c r="V140" s="85"/>
      <c r="W140" s="87"/>
      <c r="X140" s="88"/>
      <c r="Y140" s="88"/>
      <c r="Z140" s="89"/>
      <c r="AA140" s="90"/>
      <c r="AB140" s="91"/>
      <c r="AC140" s="103"/>
      <c r="AD140" s="92"/>
      <c r="AE140" s="92"/>
      <c r="AF140" s="92"/>
      <c r="AG140" s="92"/>
      <c r="AH140" s="105"/>
      <c r="AI140" s="161"/>
      <c r="AJ140" s="75"/>
      <c r="AK140" s="75"/>
      <c r="AL140" s="75"/>
      <c r="AM140" s="76"/>
      <c r="AN140" s="76"/>
      <c r="AO140" s="74"/>
      <c r="AP140" s="75"/>
      <c r="AQ140" s="75"/>
      <c r="AR140" s="75"/>
      <c r="AS140" s="76"/>
      <c r="AT140" s="76"/>
      <c r="AU140" s="21"/>
      <c r="AV140" s="21"/>
      <c r="AW140" s="21"/>
      <c r="AX140" s="21"/>
      <c r="AY140" s="21"/>
      <c r="AZ140" s="21"/>
      <c r="BA140" s="21"/>
      <c r="BB140" s="21"/>
    </row>
    <row collapsed="false" customFormat="false" customHeight="true" hidden="false" ht="15.75" outlineLevel="0" r="141">
      <c r="A141" s="32"/>
      <c r="B141" s="32"/>
      <c r="C141" s="50" t="n">
        <v>13</v>
      </c>
      <c r="D141" s="181" t="s">
        <v>96</v>
      </c>
      <c r="E141" s="182" t="s">
        <v>94</v>
      </c>
      <c r="F141" s="53" t="s">
        <v>64</v>
      </c>
      <c r="G141" s="54" t="s">
        <v>105</v>
      </c>
      <c r="H141" s="55" t="n">
        <v>46023</v>
      </c>
      <c r="I141" s="55" t="n">
        <v>46037</v>
      </c>
      <c r="J141" s="56" t="n">
        <v>60</v>
      </c>
      <c r="K141" s="57"/>
      <c r="L141" s="159"/>
      <c r="M141" s="58"/>
      <c r="N141" s="169" t="n">
        <v>95000</v>
      </c>
      <c r="O141" s="60" t="n">
        <f aca="false">15*8</f>
        <v>120</v>
      </c>
      <c r="P141" s="59" t="n">
        <f aca="false">N141/O141*(J141+K141+L141+M141)</f>
        <v>47500</v>
      </c>
      <c r="Q141" s="61"/>
      <c r="R141" s="62"/>
      <c r="S141" s="62"/>
      <c r="T141" s="62"/>
      <c r="U141" s="62"/>
      <c r="V141" s="62"/>
      <c r="W141" s="64"/>
      <c r="X141" s="65" t="n">
        <f aca="false">SUM(P141:W141)</f>
        <v>47500</v>
      </c>
      <c r="Y141" s="66"/>
      <c r="Z141" s="67" t="n">
        <f aca="false">AG59</f>
        <v>-63</v>
      </c>
      <c r="AA141" s="68" t="n">
        <f aca="false">X141+Y141+Z141</f>
        <v>47437</v>
      </c>
      <c r="AB141" s="69"/>
      <c r="AC141" s="70" t="n">
        <v>6960</v>
      </c>
      <c r="AD141" s="71" t="n">
        <v>40500</v>
      </c>
      <c r="AE141" s="71" t="n">
        <f aca="false">AC141+AD141+AB141</f>
        <v>47460</v>
      </c>
      <c r="AF141" s="72" t="n">
        <f aca="false">AE141+AE142</f>
        <v>47460</v>
      </c>
      <c r="AG141" s="71" t="n">
        <f aca="false">AA141-AE141</f>
        <v>-23</v>
      </c>
      <c r="AH141" s="122"/>
      <c r="AI141" s="161" t="n">
        <f aca="false">AD141</f>
        <v>40500</v>
      </c>
      <c r="AJ141" s="75"/>
      <c r="AK141" s="130" t="n">
        <f aca="false">AC141</f>
        <v>6960</v>
      </c>
      <c r="AL141" s="75"/>
      <c r="AM141" s="75"/>
      <c r="AN141" s="76"/>
      <c r="AO141" s="74" t="n">
        <f aca="false">AD142</f>
        <v>0</v>
      </c>
      <c r="AP141" s="75"/>
      <c r="AQ141" s="130" t="n">
        <f aca="false">AC142</f>
        <v>0</v>
      </c>
      <c r="AR141" s="75"/>
      <c r="AS141" s="75"/>
      <c r="AT141" s="75"/>
      <c r="AU141" s="21"/>
      <c r="AV141" s="21"/>
      <c r="AW141" s="21"/>
      <c r="AX141" s="21"/>
      <c r="AY141" s="21"/>
      <c r="AZ141" s="21"/>
      <c r="BA141" s="21"/>
      <c r="BB141" s="21"/>
    </row>
    <row collapsed="false" customFormat="false" customHeight="true" hidden="false" ht="15.75" outlineLevel="0" r="142">
      <c r="A142" s="32"/>
      <c r="B142" s="32"/>
      <c r="C142" s="50"/>
      <c r="D142" s="181"/>
      <c r="E142" s="182"/>
      <c r="F142" s="78"/>
      <c r="G142" s="54" t="s">
        <v>105</v>
      </c>
      <c r="H142" s="79" t="n">
        <v>46037</v>
      </c>
      <c r="I142" s="79" t="n">
        <v>46053</v>
      </c>
      <c r="J142" s="56" t="n">
        <v>60</v>
      </c>
      <c r="K142" s="81"/>
      <c r="L142" s="82"/>
      <c r="M142" s="108"/>
      <c r="N142" s="169" t="n">
        <v>95000</v>
      </c>
      <c r="O142" s="60" t="n">
        <f aca="false">15*8</f>
        <v>120</v>
      </c>
      <c r="P142" s="59" t="n">
        <f aca="false">N142/O142*(J142+K142+L142+M142)</f>
        <v>47500</v>
      </c>
      <c r="Q142" s="84"/>
      <c r="R142" s="85"/>
      <c r="S142" s="85"/>
      <c r="T142" s="85"/>
      <c r="U142" s="85"/>
      <c r="V142" s="85"/>
      <c r="W142" s="87"/>
      <c r="X142" s="65" t="n">
        <f aca="false">SUM(P142:W142)</f>
        <v>47500</v>
      </c>
      <c r="Y142" s="88"/>
      <c r="Z142" s="89" t="n">
        <f aca="false">AG141</f>
        <v>-23</v>
      </c>
      <c r="AA142" s="90" t="n">
        <f aca="false">X142+Y142+Z142</f>
        <v>47477</v>
      </c>
      <c r="AB142" s="91"/>
      <c r="AC142" s="103"/>
      <c r="AD142" s="92"/>
      <c r="AE142" s="92" t="n">
        <f aca="false">AC142+AD142+AB142</f>
        <v>0</v>
      </c>
      <c r="AF142" s="92"/>
      <c r="AG142" s="104" t="n">
        <f aca="false">AA142-AE142</f>
        <v>47477</v>
      </c>
      <c r="AH142" s="105"/>
      <c r="AI142" s="161"/>
      <c r="AJ142" s="75"/>
      <c r="AK142" s="130"/>
      <c r="AL142" s="75"/>
      <c r="AM142" s="75"/>
      <c r="AN142" s="76"/>
      <c r="AO142" s="74"/>
      <c r="AP142" s="75"/>
      <c r="AQ142" s="75"/>
      <c r="AR142" s="75"/>
      <c r="AS142" s="75"/>
      <c r="AT142" s="75"/>
      <c r="AU142" s="21"/>
      <c r="AV142" s="21"/>
      <c r="AW142" s="21"/>
      <c r="AX142" s="21"/>
      <c r="AY142" s="21"/>
      <c r="AZ142" s="21"/>
      <c r="BA142" s="21"/>
      <c r="BB142" s="21"/>
    </row>
    <row collapsed="false" customFormat="false" customHeight="true" hidden="false" ht="15.75" outlineLevel="0" r="143">
      <c r="A143" s="32"/>
      <c r="B143" s="32"/>
      <c r="C143" s="50" t="n">
        <v>14</v>
      </c>
      <c r="D143" s="51" t="s">
        <v>97</v>
      </c>
      <c r="E143" s="52" t="s">
        <v>92</v>
      </c>
      <c r="F143" s="53" t="s">
        <v>64</v>
      </c>
      <c r="G143" s="54" t="s">
        <v>105</v>
      </c>
      <c r="H143" s="55" t="n">
        <v>46023</v>
      </c>
      <c r="I143" s="55" t="n">
        <v>46037</v>
      </c>
      <c r="J143" s="56" t="n">
        <v>60</v>
      </c>
      <c r="K143" s="57"/>
      <c r="L143" s="159"/>
      <c r="M143" s="58"/>
      <c r="N143" s="169" t="n">
        <v>175000</v>
      </c>
      <c r="O143" s="60" t="n">
        <f aca="false">15*8</f>
        <v>120</v>
      </c>
      <c r="P143" s="59" t="n">
        <f aca="false">N143/O143*(J143+K143+L143+M143)</f>
        <v>87500</v>
      </c>
      <c r="Q143" s="61"/>
      <c r="R143" s="62"/>
      <c r="S143" s="62"/>
      <c r="T143" s="62"/>
      <c r="U143" s="62"/>
      <c r="V143" s="62"/>
      <c r="W143" s="64"/>
      <c r="X143" s="65" t="n">
        <f aca="false">SUM(P143:W143)</f>
        <v>87500</v>
      </c>
      <c r="Y143" s="66"/>
      <c r="Z143" s="67" t="n">
        <f aca="false">AG61</f>
        <v>-77</v>
      </c>
      <c r="AA143" s="68" t="n">
        <f aca="false">X143+Y143+Z143</f>
        <v>87423</v>
      </c>
      <c r="AB143" s="69"/>
      <c r="AC143" s="121"/>
      <c r="AD143" s="71" t="n">
        <v>87500</v>
      </c>
      <c r="AE143" s="71" t="n">
        <f aca="false">AC143+AD143+AB143</f>
        <v>87500</v>
      </c>
      <c r="AF143" s="72" t="n">
        <f aca="false">AE143+AE144</f>
        <v>87500</v>
      </c>
      <c r="AG143" s="71" t="n">
        <f aca="false">AA143-AE143</f>
        <v>-77</v>
      </c>
      <c r="AH143" s="170"/>
      <c r="AI143" s="183"/>
      <c r="AJ143" s="184" t="n">
        <f aca="false">AD143</f>
        <v>87500</v>
      </c>
      <c r="AK143" s="75"/>
      <c r="AL143" s="75"/>
      <c r="AM143" s="76" t="n">
        <f aca="false">AC143</f>
        <v>0</v>
      </c>
      <c r="AN143" s="75"/>
      <c r="AO143" s="75"/>
      <c r="AP143" s="127" t="n">
        <f aca="false">AD144</f>
        <v>0</v>
      </c>
      <c r="AQ143" s="75"/>
      <c r="AR143" s="75"/>
      <c r="AS143" s="75" t="n">
        <f aca="false">AC144</f>
        <v>0</v>
      </c>
      <c r="AT143" s="75"/>
      <c r="AU143" s="21"/>
      <c r="AV143" s="21"/>
      <c r="AW143" s="21"/>
      <c r="AX143" s="21"/>
      <c r="AY143" s="21"/>
      <c r="AZ143" s="21"/>
      <c r="BA143" s="21"/>
      <c r="BB143" s="21"/>
    </row>
    <row collapsed="false" customFormat="false" customHeight="true" hidden="false" ht="15.75" outlineLevel="0" r="144">
      <c r="A144" s="32"/>
      <c r="B144" s="32"/>
      <c r="C144" s="50"/>
      <c r="D144" s="51"/>
      <c r="E144" s="52"/>
      <c r="F144" s="78"/>
      <c r="G144" s="54" t="s">
        <v>105</v>
      </c>
      <c r="H144" s="79" t="n">
        <v>46037</v>
      </c>
      <c r="I144" s="79" t="n">
        <v>46053</v>
      </c>
      <c r="J144" s="56" t="n">
        <v>60</v>
      </c>
      <c r="K144" s="81"/>
      <c r="L144" s="82"/>
      <c r="M144" s="108"/>
      <c r="N144" s="169" t="n">
        <v>175000</v>
      </c>
      <c r="O144" s="60" t="n">
        <f aca="false">15*8</f>
        <v>120</v>
      </c>
      <c r="P144" s="59" t="n">
        <f aca="false">N144/O144*(J144+K144+L144+M144)</f>
        <v>87500</v>
      </c>
      <c r="Q144" s="84"/>
      <c r="R144" s="85"/>
      <c r="S144" s="85"/>
      <c r="T144" s="85"/>
      <c r="U144" s="85"/>
      <c r="V144" s="85"/>
      <c r="W144" s="87"/>
      <c r="X144" s="88" t="n">
        <f aca="false">SUM(P144:W144)</f>
        <v>87500</v>
      </c>
      <c r="Y144" s="88"/>
      <c r="Z144" s="89" t="n">
        <f aca="false">AG143</f>
        <v>-77</v>
      </c>
      <c r="AA144" s="90" t="n">
        <f aca="false">X144+Y144+Z144</f>
        <v>87423</v>
      </c>
      <c r="AB144" s="91"/>
      <c r="AC144" s="111"/>
      <c r="AD144" s="92"/>
      <c r="AE144" s="92" t="n">
        <f aca="false">AC144+AD144+AB144</f>
        <v>0</v>
      </c>
      <c r="AF144" s="92"/>
      <c r="AG144" s="104" t="n">
        <f aca="false">AA144-AE144</f>
        <v>87423</v>
      </c>
      <c r="AH144" s="163"/>
      <c r="AI144" s="183"/>
      <c r="AJ144" s="184"/>
      <c r="AK144" s="75"/>
      <c r="AL144" s="75"/>
      <c r="AM144" s="76"/>
      <c r="AN144" s="75"/>
      <c r="AO144" s="75"/>
      <c r="AP144" s="127"/>
      <c r="AQ144" s="127"/>
      <c r="AR144" s="75"/>
      <c r="AS144" s="75"/>
      <c r="AT144" s="75"/>
      <c r="AU144" s="21"/>
      <c r="AV144" s="21"/>
      <c r="AW144" s="21"/>
      <c r="AX144" s="21"/>
      <c r="AY144" s="21"/>
      <c r="AZ144" s="21"/>
      <c r="BA144" s="21"/>
      <c r="BB144" s="21"/>
    </row>
    <row collapsed="false" customFormat="false" customHeight="true" hidden="false" ht="15.75" outlineLevel="0" r="145">
      <c r="A145" s="32"/>
      <c r="B145" s="32"/>
      <c r="C145" s="50" t="n">
        <v>15</v>
      </c>
      <c r="D145" s="185" t="s">
        <v>98</v>
      </c>
      <c r="E145" s="186" t="s">
        <v>99</v>
      </c>
      <c r="F145" s="53" t="s">
        <v>64</v>
      </c>
      <c r="G145" s="54" t="s">
        <v>105</v>
      </c>
      <c r="H145" s="55" t="n">
        <v>46023</v>
      </c>
      <c r="I145" s="55" t="n">
        <v>46037</v>
      </c>
      <c r="J145" s="56" t="n">
        <v>60</v>
      </c>
      <c r="K145" s="57"/>
      <c r="L145" s="159"/>
      <c r="M145" s="58"/>
      <c r="N145" s="169" t="n">
        <v>100000</v>
      </c>
      <c r="O145" s="60" t="n">
        <f aca="false">15*8</f>
        <v>120</v>
      </c>
      <c r="P145" s="59" t="n">
        <f aca="false">N145/O145*(J145+K145+L145+M145)</f>
        <v>50000</v>
      </c>
      <c r="Q145" s="61"/>
      <c r="R145" s="62"/>
      <c r="S145" s="62"/>
      <c r="T145" s="62"/>
      <c r="U145" s="62"/>
      <c r="V145" s="62"/>
      <c r="W145" s="64"/>
      <c r="X145" s="65" t="n">
        <f aca="false">SUM(P145:W145)</f>
        <v>50000</v>
      </c>
      <c r="Y145" s="66"/>
      <c r="Z145" s="67" t="n">
        <f aca="false">AG63</f>
        <v>-162.999999999985</v>
      </c>
      <c r="AA145" s="68" t="n">
        <f aca="false">X145+Y145+Z145</f>
        <v>49837</v>
      </c>
      <c r="AB145" s="69"/>
      <c r="AC145" s="70" t="n">
        <v>6960</v>
      </c>
      <c r="AD145" s="71" t="n">
        <v>42500</v>
      </c>
      <c r="AE145" s="71" t="n">
        <f aca="false">AC145+AD145+AB145</f>
        <v>49460</v>
      </c>
      <c r="AF145" s="72" t="n">
        <f aca="false">AE145+AE146</f>
        <v>49460</v>
      </c>
      <c r="AG145" s="71" t="n">
        <f aca="false">AA145-AE145</f>
        <v>377.000000000015</v>
      </c>
      <c r="AH145" s="122"/>
      <c r="AI145" s="161" t="n">
        <f aca="false">AD145</f>
        <v>42500</v>
      </c>
      <c r="AJ145" s="75"/>
      <c r="AK145" s="99" t="n">
        <f aca="false">AC145</f>
        <v>6960</v>
      </c>
      <c r="AL145" s="99"/>
      <c r="AM145" s="75"/>
      <c r="AN145" s="75"/>
      <c r="AO145" s="74" t="n">
        <f aca="false">AD146</f>
        <v>0</v>
      </c>
      <c r="AP145" s="75"/>
      <c r="AQ145" s="99" t="n">
        <f aca="false">AC146</f>
        <v>0</v>
      </c>
      <c r="AR145" s="99"/>
      <c r="AS145" s="75"/>
      <c r="AT145" s="75"/>
      <c r="AU145" s="21"/>
      <c r="AV145" s="21"/>
      <c r="AW145" s="21"/>
      <c r="AX145" s="21"/>
      <c r="AY145" s="21"/>
      <c r="AZ145" s="21"/>
      <c r="BA145" s="21"/>
      <c r="BB145" s="21"/>
    </row>
    <row collapsed="false" customFormat="false" customHeight="true" hidden="false" ht="15.75" outlineLevel="0" r="146">
      <c r="A146" s="32"/>
      <c r="B146" s="32"/>
      <c r="C146" s="50"/>
      <c r="D146" s="185"/>
      <c r="E146" s="186"/>
      <c r="F146" s="78"/>
      <c r="G146" s="54" t="s">
        <v>105</v>
      </c>
      <c r="H146" s="79" t="n">
        <v>46037</v>
      </c>
      <c r="I146" s="79" t="n">
        <v>46053</v>
      </c>
      <c r="J146" s="56" t="n">
        <v>60</v>
      </c>
      <c r="K146" s="81"/>
      <c r="L146" s="82"/>
      <c r="M146" s="108"/>
      <c r="N146" s="162" t="n">
        <f aca="false">N145</f>
        <v>100000</v>
      </c>
      <c r="O146" s="60" t="n">
        <f aca="false">15*8</f>
        <v>120</v>
      </c>
      <c r="P146" s="59" t="n">
        <f aca="false">N146/O146*(J146+K146+L146+M146)</f>
        <v>50000</v>
      </c>
      <c r="Q146" s="84"/>
      <c r="R146" s="85"/>
      <c r="S146" s="85"/>
      <c r="T146" s="85"/>
      <c r="U146" s="85"/>
      <c r="V146" s="85"/>
      <c r="W146" s="87"/>
      <c r="X146" s="88" t="n">
        <f aca="false">SUM(P146:W146)</f>
        <v>50000</v>
      </c>
      <c r="Y146" s="88"/>
      <c r="Z146" s="89" t="n">
        <f aca="false">AG145</f>
        <v>377.000000000015</v>
      </c>
      <c r="AA146" s="90" t="n">
        <f aca="false">X146+Y146+Z146</f>
        <v>50377</v>
      </c>
      <c r="AB146" s="91"/>
      <c r="AC146" s="103"/>
      <c r="AD146" s="92"/>
      <c r="AE146" s="92" t="n">
        <f aca="false">AC146+AD146+AB146</f>
        <v>0</v>
      </c>
      <c r="AF146" s="92"/>
      <c r="AG146" s="104" t="n">
        <f aca="false">AA146-AE146</f>
        <v>50377</v>
      </c>
      <c r="AH146" s="105"/>
      <c r="AI146" s="161"/>
      <c r="AJ146" s="75"/>
      <c r="AK146" s="99"/>
      <c r="AL146" s="99"/>
      <c r="AM146" s="75"/>
      <c r="AN146" s="75"/>
      <c r="AO146" s="74"/>
      <c r="AP146" s="75"/>
      <c r="AQ146" s="75"/>
      <c r="AR146" s="99"/>
      <c r="AS146" s="75"/>
      <c r="AT146" s="75"/>
      <c r="AU146" s="21"/>
      <c r="AV146" s="21"/>
      <c r="AW146" s="21"/>
      <c r="AX146" s="21"/>
      <c r="AY146" s="21"/>
      <c r="AZ146" s="21"/>
      <c r="BA146" s="21"/>
      <c r="BB146" s="21"/>
    </row>
    <row collapsed="false" customFormat="false" customHeight="true" hidden="false" ht="15.75" outlineLevel="0" r="147">
      <c r="A147" s="32"/>
      <c r="B147" s="32"/>
      <c r="C147" s="50" t="n">
        <v>16</v>
      </c>
      <c r="D147" s="157" t="s">
        <v>100</v>
      </c>
      <c r="E147" s="187" t="s">
        <v>74</v>
      </c>
      <c r="F147" s="53" t="s">
        <v>64</v>
      </c>
      <c r="G147" s="54" t="s">
        <v>105</v>
      </c>
      <c r="H147" s="55" t="n">
        <v>46023</v>
      </c>
      <c r="I147" s="55" t="n">
        <v>46037</v>
      </c>
      <c r="J147" s="56" t="n">
        <v>60</v>
      </c>
      <c r="K147" s="57"/>
      <c r="L147" s="159"/>
      <c r="M147" s="58"/>
      <c r="N147" s="59" t="n">
        <v>50000</v>
      </c>
      <c r="O147" s="60" t="n">
        <f aca="false">15*8</f>
        <v>120</v>
      </c>
      <c r="P147" s="59" t="n">
        <f aca="false">N147/O147*(J147+K147+L147+M147)</f>
        <v>25000</v>
      </c>
      <c r="Q147" s="61"/>
      <c r="R147" s="62"/>
      <c r="S147" s="62"/>
      <c r="T147" s="62"/>
      <c r="U147" s="62"/>
      <c r="V147" s="62"/>
      <c r="W147" s="64"/>
      <c r="X147" s="65" t="n">
        <f aca="false">SUM(P147:W147)</f>
        <v>25000</v>
      </c>
      <c r="Y147" s="66"/>
      <c r="Z147" s="67" t="n">
        <f aca="false">AG65</f>
        <v>-7.27595761418343E-012</v>
      </c>
      <c r="AA147" s="68" t="n">
        <f aca="false">X147+Y147+Z147</f>
        <v>25000</v>
      </c>
      <c r="AB147" s="69"/>
      <c r="AC147" s="188"/>
      <c r="AD147" s="188" t="n">
        <v>25000</v>
      </c>
      <c r="AE147" s="71" t="n">
        <f aca="false">AC147+AD147+AB147</f>
        <v>25000</v>
      </c>
      <c r="AF147" s="72" t="n">
        <f aca="false">AE147+AE148</f>
        <v>25000</v>
      </c>
      <c r="AG147" s="71" t="n">
        <f aca="false">AA147-AE147</f>
        <v>0</v>
      </c>
      <c r="AH147" s="170"/>
      <c r="AI147" s="183"/>
      <c r="AJ147" s="189" t="n">
        <f aca="false">AD147</f>
        <v>25000</v>
      </c>
      <c r="AK147" s="75"/>
      <c r="AL147" s="75"/>
      <c r="AM147" s="75" t="n">
        <f aca="false">AC147</f>
        <v>0</v>
      </c>
      <c r="AN147" s="75"/>
      <c r="AO147" s="75"/>
      <c r="AP147" s="189" t="n">
        <f aca="false">AD148</f>
        <v>0</v>
      </c>
      <c r="AQ147" s="75"/>
      <c r="AR147" s="75"/>
      <c r="AS147" s="75" t="n">
        <f aca="false">AC148</f>
        <v>0</v>
      </c>
      <c r="AT147" s="75"/>
      <c r="AU147" s="21"/>
      <c r="AV147" s="21"/>
      <c r="AW147" s="21"/>
      <c r="AX147" s="21"/>
      <c r="AY147" s="21"/>
      <c r="AZ147" s="21"/>
      <c r="BA147" s="21"/>
      <c r="BB147" s="21"/>
    </row>
    <row collapsed="false" customFormat="false" customHeight="true" hidden="false" ht="15.75" outlineLevel="0" r="148">
      <c r="A148" s="32"/>
      <c r="B148" s="32"/>
      <c r="C148" s="50"/>
      <c r="D148" s="157"/>
      <c r="E148" s="187"/>
      <c r="F148" s="78"/>
      <c r="G148" s="54" t="s">
        <v>105</v>
      </c>
      <c r="H148" s="79" t="n">
        <v>46037</v>
      </c>
      <c r="I148" s="79" t="n">
        <v>46053</v>
      </c>
      <c r="J148" s="56" t="n">
        <v>60</v>
      </c>
      <c r="K148" s="81"/>
      <c r="L148" s="82"/>
      <c r="M148" s="108"/>
      <c r="N148" s="83" t="n">
        <v>50000</v>
      </c>
      <c r="O148" s="60" t="n">
        <f aca="false">15*8</f>
        <v>120</v>
      </c>
      <c r="P148" s="59" t="n">
        <f aca="false">N148/O148*(J148+K148+L148+M148)</f>
        <v>25000</v>
      </c>
      <c r="Q148" s="84"/>
      <c r="R148" s="85"/>
      <c r="S148" s="85"/>
      <c r="T148" s="85"/>
      <c r="U148" s="85"/>
      <c r="V148" s="85"/>
      <c r="W148" s="87"/>
      <c r="X148" s="65" t="n">
        <f aca="false">SUM(P148:W148)</f>
        <v>25000</v>
      </c>
      <c r="Y148" s="88"/>
      <c r="Z148" s="89" t="n">
        <f aca="false">AG147</f>
        <v>0</v>
      </c>
      <c r="AA148" s="90" t="n">
        <f aca="false">X148+Y148+Z148</f>
        <v>25000</v>
      </c>
      <c r="AB148" s="91"/>
      <c r="AC148" s="190"/>
      <c r="AD148" s="190"/>
      <c r="AE148" s="92" t="n">
        <f aca="false">AC148+AD148+AB148</f>
        <v>0</v>
      </c>
      <c r="AF148" s="92"/>
      <c r="AG148" s="178" t="n">
        <f aca="false">AA148-AE148</f>
        <v>25000</v>
      </c>
      <c r="AH148" s="163"/>
      <c r="AI148" s="183"/>
      <c r="AJ148" s="189"/>
      <c r="AK148" s="75"/>
      <c r="AL148" s="75"/>
      <c r="AM148" s="75"/>
      <c r="AN148" s="75"/>
      <c r="AO148" s="75"/>
      <c r="AP148" s="189"/>
      <c r="AQ148" s="75"/>
      <c r="AR148" s="75"/>
      <c r="AS148" s="75"/>
      <c r="AT148" s="75"/>
      <c r="AU148" s="21"/>
      <c r="AV148" s="21"/>
      <c r="AW148" s="21"/>
      <c r="AX148" s="21"/>
      <c r="AY148" s="21"/>
      <c r="AZ148" s="21"/>
      <c r="BA148" s="21"/>
      <c r="BB148" s="21"/>
    </row>
    <row collapsed="false" customFormat="false" customHeight="true" hidden="false" ht="15.75" outlineLevel="0" r="149">
      <c r="A149" s="32"/>
      <c r="B149" s="32"/>
      <c r="C149" s="50" t="n">
        <v>17</v>
      </c>
      <c r="D149" s="157" t="s">
        <v>101</v>
      </c>
      <c r="E149" s="187" t="s">
        <v>74</v>
      </c>
      <c r="F149" s="53" t="s">
        <v>64</v>
      </c>
      <c r="G149" s="54" t="s">
        <v>105</v>
      </c>
      <c r="H149" s="55" t="n">
        <v>46023</v>
      </c>
      <c r="I149" s="55" t="n">
        <v>46037</v>
      </c>
      <c r="J149" s="56" t="n">
        <v>60</v>
      </c>
      <c r="K149" s="57"/>
      <c r="L149" s="159"/>
      <c r="M149" s="58"/>
      <c r="N149" s="59" t="n">
        <v>75000</v>
      </c>
      <c r="O149" s="60" t="n">
        <f aca="false">15*8</f>
        <v>120</v>
      </c>
      <c r="P149" s="59" t="n">
        <f aca="false">N149/O149*(J149+K149+L149+M149)</f>
        <v>37500</v>
      </c>
      <c r="Q149" s="61"/>
      <c r="R149" s="62"/>
      <c r="S149" s="62"/>
      <c r="T149" s="62"/>
      <c r="U149" s="62"/>
      <c r="V149" s="62"/>
      <c r="W149" s="64"/>
      <c r="X149" s="65" t="n">
        <f aca="false">SUM(P149:W149)</f>
        <v>37500</v>
      </c>
      <c r="Y149" s="66"/>
      <c r="Z149" s="67" t="n">
        <f aca="false">AG67</f>
        <v>0</v>
      </c>
      <c r="AA149" s="68" t="n">
        <f aca="false">X149+Y149+Z149</f>
        <v>37500</v>
      </c>
      <c r="AB149" s="69"/>
      <c r="AC149" s="121"/>
      <c r="AD149" s="121" t="n">
        <v>37500</v>
      </c>
      <c r="AE149" s="71" t="n">
        <f aca="false">AC149+AD149+AB149</f>
        <v>37500</v>
      </c>
      <c r="AF149" s="72" t="n">
        <f aca="false">AE149+AE150</f>
        <v>37500</v>
      </c>
      <c r="AG149" s="71" t="n">
        <f aca="false">AA149-AE149</f>
        <v>0</v>
      </c>
      <c r="AH149" s="170"/>
      <c r="AI149" s="183"/>
      <c r="AJ149" s="189" t="n">
        <f aca="false">AD149</f>
        <v>37500</v>
      </c>
      <c r="AK149" s="75"/>
      <c r="AL149" s="75"/>
      <c r="AM149" s="75" t="n">
        <f aca="false">AC149</f>
        <v>0</v>
      </c>
      <c r="AN149" s="75"/>
      <c r="AO149" s="75"/>
      <c r="AP149" s="189" t="n">
        <f aca="false">AD150</f>
        <v>0</v>
      </c>
      <c r="AQ149" s="75"/>
      <c r="AR149" s="75"/>
      <c r="AS149" s="75" t="n">
        <f aca="false">AC150</f>
        <v>0</v>
      </c>
      <c r="AT149" s="75"/>
      <c r="AU149" s="21"/>
      <c r="AV149" s="21"/>
      <c r="AW149" s="21"/>
      <c r="AX149" s="21"/>
      <c r="AY149" s="21"/>
      <c r="AZ149" s="21"/>
      <c r="BA149" s="21"/>
      <c r="BB149" s="21"/>
    </row>
    <row collapsed="false" customFormat="false" customHeight="true" hidden="false" ht="15.75" outlineLevel="0" r="150">
      <c r="A150" s="32"/>
      <c r="B150" s="32"/>
      <c r="C150" s="50"/>
      <c r="D150" s="157"/>
      <c r="E150" s="187"/>
      <c r="F150" s="78"/>
      <c r="G150" s="54" t="s">
        <v>105</v>
      </c>
      <c r="H150" s="79" t="n">
        <v>46037</v>
      </c>
      <c r="I150" s="79" t="n">
        <v>46053</v>
      </c>
      <c r="J150" s="56" t="n">
        <v>60</v>
      </c>
      <c r="K150" s="81"/>
      <c r="L150" s="82"/>
      <c r="M150" s="108"/>
      <c r="N150" s="83" t="n">
        <v>75000</v>
      </c>
      <c r="O150" s="60" t="n">
        <f aca="false">15*8</f>
        <v>120</v>
      </c>
      <c r="P150" s="59" t="n">
        <f aca="false">N150/O150*(J150+K150+L150+M150)</f>
        <v>37500</v>
      </c>
      <c r="Q150" s="84"/>
      <c r="R150" s="85"/>
      <c r="S150" s="85"/>
      <c r="T150" s="85"/>
      <c r="U150" s="85"/>
      <c r="V150" s="85"/>
      <c r="W150" s="87"/>
      <c r="X150" s="88" t="n">
        <f aca="false">SUM(P150:W150)</f>
        <v>37500</v>
      </c>
      <c r="Y150" s="88"/>
      <c r="Z150" s="89" t="n">
        <f aca="false">AG149</f>
        <v>0</v>
      </c>
      <c r="AA150" s="90" t="n">
        <f aca="false">X150+Y150+Z150</f>
        <v>37500</v>
      </c>
      <c r="AB150" s="91"/>
      <c r="AC150" s="111"/>
      <c r="AD150" s="92"/>
      <c r="AE150" s="92" t="n">
        <f aca="false">AC150+AD150+AB150</f>
        <v>0</v>
      </c>
      <c r="AF150" s="92"/>
      <c r="AG150" s="178" t="n">
        <f aca="false">AA150-AE150</f>
        <v>37500</v>
      </c>
      <c r="AH150" s="163"/>
      <c r="AI150" s="183"/>
      <c r="AJ150" s="189"/>
      <c r="AK150" s="75"/>
      <c r="AL150" s="75"/>
      <c r="AM150" s="75"/>
      <c r="AN150" s="75"/>
      <c r="AO150" s="75"/>
      <c r="AP150" s="189"/>
      <c r="AQ150" s="189"/>
      <c r="AR150" s="75"/>
      <c r="AS150" s="75"/>
      <c r="AT150" s="75"/>
      <c r="AU150" s="21"/>
      <c r="AV150" s="21"/>
      <c r="AW150" s="21"/>
      <c r="AX150" s="21"/>
      <c r="AY150" s="21"/>
      <c r="AZ150" s="21"/>
      <c r="BA150" s="21"/>
      <c r="BB150" s="21"/>
    </row>
    <row collapsed="false" customFormat="false" customHeight="true" hidden="false" ht="15.75" outlineLevel="0" r="151">
      <c r="A151" s="32"/>
      <c r="B151" s="32"/>
      <c r="C151" s="32" t="n">
        <f aca="false">C149+C111</f>
        <v>30</v>
      </c>
      <c r="D151" s="32"/>
      <c r="E151" s="192"/>
      <c r="F151" s="32"/>
      <c r="G151" s="32"/>
      <c r="H151" s="32"/>
      <c r="I151" s="32"/>
      <c r="J151" s="32"/>
      <c r="K151" s="32"/>
      <c r="L151" s="144"/>
      <c r="M151" s="32"/>
      <c r="N151" s="32"/>
      <c r="O151" s="32"/>
      <c r="P151" s="32"/>
      <c r="Q151" s="32"/>
      <c r="R151" s="144"/>
      <c r="S151" s="144"/>
      <c r="T151" s="144"/>
      <c r="U151" s="144"/>
      <c r="V151" s="144"/>
      <c r="W151" s="144"/>
      <c r="X151" s="32"/>
      <c r="Y151" s="193"/>
      <c r="Z151" s="194"/>
      <c r="AA151" s="194"/>
      <c r="AB151" s="194"/>
      <c r="AC151" s="194"/>
      <c r="AD151" s="194"/>
      <c r="AE151" s="194"/>
      <c r="AF151" s="194"/>
      <c r="AG151" s="194"/>
      <c r="AH151" s="195"/>
      <c r="AI151" s="196"/>
      <c r="AJ151" s="197"/>
      <c r="AK151" s="198"/>
      <c r="AL151" s="199"/>
      <c r="AM151" s="200"/>
      <c r="AN151" s="201"/>
      <c r="AO151" s="194"/>
      <c r="AP151" s="197"/>
      <c r="AQ151" s="198"/>
      <c r="AR151" s="198"/>
      <c r="AS151" s="200"/>
      <c r="AT151" s="202"/>
      <c r="AU151" s="21"/>
      <c r="AV151" s="21"/>
      <c r="AW151" s="21"/>
      <c r="AX151" s="21"/>
      <c r="AY151" s="21"/>
      <c r="AZ151" s="21"/>
      <c r="BA151" s="21"/>
      <c r="BB151" s="21"/>
    </row>
    <row collapsed="false" customFormat="false" customHeight="true" hidden="false" ht="15.75" outlineLevel="0" r="152">
      <c r="A152" s="32"/>
      <c r="B152" s="32"/>
      <c r="C152" s="32"/>
      <c r="D152" s="32"/>
      <c r="E152" s="192"/>
      <c r="F152" s="32"/>
      <c r="G152" s="32"/>
      <c r="H152" s="32"/>
      <c r="I152" s="32"/>
      <c r="J152" s="32"/>
      <c r="K152" s="32"/>
      <c r="L152" s="144"/>
      <c r="M152" s="32"/>
      <c r="N152" s="32"/>
      <c r="O152" s="32"/>
      <c r="P152" s="32"/>
      <c r="Q152" s="32"/>
      <c r="R152" s="144"/>
      <c r="S152" s="144"/>
      <c r="T152" s="144"/>
      <c r="U152" s="144"/>
      <c r="V152" s="144"/>
      <c r="W152" s="144"/>
      <c r="X152" s="32"/>
      <c r="Y152" s="203"/>
      <c r="Z152" s="143"/>
      <c r="AA152" s="143"/>
      <c r="AB152" s="143"/>
      <c r="AC152" s="204"/>
      <c r="AD152" s="204"/>
      <c r="AE152" s="143"/>
      <c r="AF152" s="143"/>
      <c r="AG152" s="143"/>
      <c r="AH152" s="32"/>
      <c r="AI152" s="204"/>
      <c r="AJ152" s="205"/>
      <c r="AK152" s="206"/>
      <c r="AL152" s="207"/>
      <c r="AM152" s="208"/>
      <c r="AN152" s="209"/>
      <c r="AO152" s="210"/>
      <c r="AP152" s="205"/>
      <c r="AQ152" s="206"/>
      <c r="AR152" s="208"/>
      <c r="AS152" s="200"/>
      <c r="AT152" s="202"/>
      <c r="AU152" s="21"/>
      <c r="AV152" s="21"/>
      <c r="AW152" s="21"/>
      <c r="AX152" s="21"/>
      <c r="AY152" s="21"/>
      <c r="AZ152" s="21"/>
      <c r="BA152" s="21"/>
      <c r="BB152" s="21"/>
    </row>
    <row collapsed="false" customFormat="false" customHeight="true" hidden="false" ht="15.75" outlineLevel="0" r="153">
      <c r="A153" s="32"/>
      <c r="B153" s="32"/>
      <c r="C153" s="32"/>
      <c r="D153" s="32"/>
      <c r="E153" s="192"/>
      <c r="F153" s="32"/>
      <c r="G153" s="32"/>
      <c r="H153" s="32"/>
      <c r="I153" s="32"/>
      <c r="J153" s="32"/>
      <c r="K153" s="32"/>
      <c r="L153" s="144"/>
      <c r="M153" s="32"/>
      <c r="N153" s="32"/>
      <c r="O153" s="32"/>
      <c r="P153" s="32"/>
      <c r="Q153" s="32"/>
      <c r="R153" s="144"/>
      <c r="S153" s="144"/>
      <c r="T153" s="144"/>
      <c r="U153" s="144"/>
      <c r="V153" s="144"/>
      <c r="W153" s="144"/>
      <c r="X153" s="32"/>
      <c r="Y153" s="211"/>
      <c r="Z153" s="212"/>
      <c r="AA153" s="213"/>
      <c r="AB153" s="214"/>
      <c r="AC153" s="214"/>
      <c r="AD153" s="214"/>
      <c r="AE153" s="215"/>
      <c r="AF153" s="215"/>
      <c r="AG153" s="216"/>
      <c r="AH153" s="217"/>
      <c r="AI153" s="218"/>
      <c r="AJ153" s="219"/>
      <c r="AK153" s="220"/>
      <c r="AL153" s="221"/>
      <c r="AM153" s="222"/>
      <c r="AN153" s="223"/>
      <c r="AO153" s="224"/>
      <c r="AP153" s="219"/>
      <c r="AQ153" s="220"/>
      <c r="AR153" s="220"/>
      <c r="AS153" s="222"/>
      <c r="AT153" s="220"/>
      <c r="AU153" s="21"/>
      <c r="AV153" s="21"/>
      <c r="AW153" s="21"/>
      <c r="AX153" s="21"/>
      <c r="AY153" s="21"/>
      <c r="AZ153" s="21"/>
      <c r="BA153" s="21"/>
      <c r="BB153" s="21"/>
    </row>
    <row collapsed="false" customFormat="false" customHeight="true" hidden="false" ht="15.75" outlineLevel="0"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144"/>
      <c r="M154" s="32"/>
      <c r="N154" s="32"/>
      <c r="O154" s="32"/>
      <c r="P154" s="32"/>
      <c r="Q154" s="32"/>
      <c r="R154" s="144"/>
      <c r="S154" s="144"/>
      <c r="T154" s="144"/>
      <c r="U154" s="144"/>
      <c r="V154" s="144"/>
      <c r="W154" s="144"/>
      <c r="X154" s="32"/>
      <c r="Y154" s="32"/>
      <c r="Z154" s="32"/>
      <c r="AA154" s="32"/>
      <c r="AB154" s="32"/>
      <c r="AC154" s="32"/>
      <c r="AD154" s="32"/>
      <c r="AE154" s="32"/>
      <c r="AF154" s="32"/>
      <c r="AG154" s="113"/>
      <c r="AH154" s="21"/>
      <c r="AI154" s="225"/>
      <c r="AJ154" s="225"/>
      <c r="AK154" s="225"/>
      <c r="AL154" s="225"/>
      <c r="AM154" s="225"/>
      <c r="AN154" s="225"/>
      <c r="AO154" s="225"/>
      <c r="AP154" s="225"/>
      <c r="AQ154" s="225"/>
      <c r="AR154" s="225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</row>
    <row collapsed="false" customFormat="false" customHeight="true" hidden="false" ht="15.75" outlineLevel="0"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144"/>
      <c r="M155" s="32"/>
      <c r="N155" s="32"/>
      <c r="O155" s="32"/>
      <c r="P155" s="32"/>
      <c r="Q155" s="32"/>
      <c r="R155" s="144"/>
      <c r="S155" s="144"/>
      <c r="T155" s="144"/>
      <c r="U155" s="144"/>
      <c r="V155" s="144"/>
      <c r="W155" s="144"/>
      <c r="X155" s="32"/>
      <c r="Y155" s="226"/>
      <c r="Z155" s="227"/>
      <c r="AA155" s="227"/>
      <c r="AB155" s="227"/>
      <c r="AC155" s="228"/>
      <c r="AD155" s="32"/>
      <c r="AE155" s="32"/>
      <c r="AF155" s="32"/>
      <c r="AG155" s="113"/>
      <c r="AH155" s="21"/>
      <c r="AI155" s="225"/>
      <c r="AJ155" s="225"/>
      <c r="AK155" s="225"/>
      <c r="AL155" s="225"/>
      <c r="AM155" s="225"/>
      <c r="AN155" s="225"/>
      <c r="AO155" s="225"/>
      <c r="AP155" s="225"/>
      <c r="AQ155" s="225"/>
      <c r="AR155" s="225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</row>
    <row collapsed="false" customFormat="false" customHeight="true" hidden="false" ht="15.75" outlineLevel="0" r="156">
      <c r="A156" s="32"/>
      <c r="B156" s="32"/>
      <c r="C156" s="32" t="n">
        <v>12</v>
      </c>
      <c r="D156" s="32"/>
      <c r="E156" s="32"/>
      <c r="F156" s="32"/>
      <c r="G156" s="32"/>
      <c r="H156" s="32"/>
      <c r="I156" s="32"/>
      <c r="J156" s="32"/>
      <c r="K156" s="32"/>
      <c r="L156" s="144"/>
      <c r="M156" s="32"/>
      <c r="N156" s="32"/>
      <c r="O156" s="32"/>
      <c r="P156" s="32"/>
      <c r="Q156" s="32"/>
      <c r="R156" s="144"/>
      <c r="S156" s="144"/>
      <c r="T156" s="144"/>
      <c r="U156" s="144"/>
      <c r="V156" s="144"/>
      <c r="W156" s="144"/>
      <c r="X156" s="32"/>
      <c r="Y156" s="226"/>
      <c r="Z156" s="229"/>
      <c r="AA156" s="229"/>
      <c r="AB156" s="227"/>
      <c r="AC156" s="228"/>
      <c r="AD156" s="32"/>
      <c r="AE156" s="32"/>
      <c r="AF156" s="32"/>
      <c r="AG156" s="113"/>
      <c r="AH156" s="21"/>
      <c r="AI156" s="225"/>
      <c r="AJ156" s="225"/>
      <c r="AK156" s="225"/>
      <c r="AL156" s="225"/>
      <c r="AM156" s="225"/>
      <c r="AN156" s="225"/>
      <c r="AO156" s="225"/>
      <c r="AP156" s="225"/>
      <c r="AQ156" s="225"/>
      <c r="AR156" s="225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</row>
    <row collapsed="false" customFormat="false" customHeight="true" hidden="false" ht="15.75" outlineLevel="0"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144"/>
      <c r="M157" s="32"/>
      <c r="N157" s="32"/>
      <c r="O157" s="32"/>
      <c r="P157" s="32"/>
      <c r="Q157" s="32"/>
      <c r="R157" s="144"/>
      <c r="S157" s="144"/>
      <c r="T157" s="144"/>
      <c r="U157" s="144"/>
      <c r="V157" s="144"/>
      <c r="W157" s="144"/>
      <c r="X157" s="32"/>
      <c r="Y157" s="226"/>
      <c r="Z157" s="230"/>
      <c r="AA157" s="230"/>
      <c r="AB157" s="227"/>
      <c r="AC157" s="228"/>
      <c r="AD157" s="32"/>
      <c r="AE157" s="32"/>
      <c r="AF157" s="32"/>
      <c r="AG157" s="113"/>
      <c r="AH157" s="21"/>
      <c r="AI157" s="225"/>
      <c r="AJ157" s="225"/>
      <c r="AK157" s="225"/>
      <c r="AL157" s="225"/>
      <c r="AM157" s="225"/>
      <c r="AN157" s="225"/>
      <c r="AO157" s="225"/>
      <c r="AP157" s="225"/>
      <c r="AQ157" s="225"/>
      <c r="AR157" s="225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</row>
    <row collapsed="false" customFormat="false" customHeight="true" hidden="false" ht="15.75" outlineLevel="0"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144"/>
      <c r="M158" s="32"/>
      <c r="N158" s="32"/>
      <c r="O158" s="32"/>
      <c r="P158" s="32"/>
      <c r="Q158" s="32"/>
      <c r="R158" s="144"/>
      <c r="S158" s="144"/>
      <c r="T158" s="144"/>
      <c r="U158" s="144"/>
      <c r="V158" s="144"/>
      <c r="W158" s="144"/>
      <c r="X158" s="32"/>
      <c r="Y158" s="226"/>
      <c r="Z158" s="227"/>
      <c r="AA158" s="227"/>
      <c r="AB158" s="227"/>
      <c r="AC158" s="228"/>
      <c r="AD158" s="32"/>
      <c r="AE158" s="32"/>
      <c r="AF158" s="32"/>
      <c r="AG158" s="113"/>
      <c r="AH158" s="21"/>
      <c r="AI158" s="225"/>
      <c r="AJ158" s="225"/>
      <c r="AK158" s="225"/>
      <c r="AL158" s="225"/>
      <c r="AM158" s="225"/>
      <c r="AN158" s="225"/>
      <c r="AO158" s="225"/>
      <c r="AP158" s="225"/>
      <c r="AQ158" s="225"/>
      <c r="AR158" s="225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</row>
    <row collapsed="false" customFormat="false" customHeight="true" hidden="false" ht="15.75" outlineLevel="0"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144"/>
      <c r="M159" s="32"/>
      <c r="N159" s="32"/>
      <c r="O159" s="32"/>
      <c r="P159" s="32"/>
      <c r="Q159" s="32"/>
      <c r="R159" s="144"/>
      <c r="S159" s="144"/>
      <c r="T159" s="144"/>
      <c r="U159" s="144"/>
      <c r="V159" s="144"/>
      <c r="W159" s="144"/>
      <c r="X159" s="32"/>
      <c r="Y159" s="226"/>
      <c r="Z159" s="231"/>
      <c r="AA159" s="231"/>
      <c r="AB159" s="227"/>
      <c r="AC159" s="228"/>
      <c r="AE159" s="32"/>
      <c r="AF159" s="32"/>
      <c r="AG159" s="113"/>
      <c r="AH159" s="21"/>
      <c r="AI159" s="225"/>
      <c r="AJ159" s="225"/>
      <c r="AK159" s="225"/>
      <c r="AL159" s="225"/>
      <c r="AM159" s="225"/>
      <c r="AN159" s="225"/>
      <c r="AO159" s="225"/>
      <c r="AP159" s="225"/>
      <c r="AQ159" s="225"/>
      <c r="AR159" s="225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</row>
    <row collapsed="false" customFormat="false" customHeight="true" hidden="false" ht="15.75" outlineLevel="0"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144"/>
      <c r="M160" s="32"/>
      <c r="N160" s="32"/>
      <c r="O160" s="32"/>
      <c r="P160" s="32"/>
      <c r="Q160" s="32"/>
      <c r="R160" s="144"/>
      <c r="S160" s="144"/>
      <c r="T160" s="144"/>
      <c r="U160" s="144"/>
      <c r="V160" s="144"/>
      <c r="W160" s="144"/>
      <c r="X160" s="32"/>
      <c r="Y160" s="226"/>
      <c r="Z160" s="232"/>
      <c r="AA160" s="232"/>
      <c r="AB160" s="227"/>
      <c r="AC160" s="228"/>
      <c r="AD160" s="32"/>
      <c r="AE160" s="32"/>
      <c r="AF160" s="32"/>
      <c r="AG160" s="113"/>
      <c r="AH160" s="21"/>
      <c r="AI160" s="225"/>
      <c r="AJ160" s="225"/>
      <c r="AK160" s="225"/>
      <c r="AL160" s="225"/>
      <c r="AM160" s="225"/>
      <c r="AN160" s="225"/>
      <c r="AO160" s="225"/>
      <c r="AP160" s="225"/>
      <c r="AQ160" s="225"/>
      <c r="AR160" s="225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</row>
    <row collapsed="false" customFormat="false" customHeight="true" hidden="false" ht="15.75" outlineLevel="0"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144"/>
      <c r="M161" s="32"/>
      <c r="N161" s="32"/>
      <c r="O161" s="32"/>
      <c r="P161" s="32"/>
      <c r="Q161" s="32"/>
      <c r="R161" s="144"/>
      <c r="S161" s="144"/>
      <c r="T161" s="144"/>
      <c r="U161" s="144"/>
      <c r="V161" s="144"/>
      <c r="W161" s="144"/>
      <c r="X161" s="32"/>
      <c r="Y161" s="226"/>
      <c r="Z161" s="233"/>
      <c r="AA161" s="233"/>
      <c r="AB161" s="227"/>
      <c r="AC161" s="228"/>
      <c r="AD161" s="32"/>
      <c r="AE161" s="32"/>
      <c r="AF161" s="32"/>
      <c r="AG161" s="113"/>
      <c r="AH161" s="21"/>
      <c r="AI161" s="225"/>
      <c r="AJ161" s="225"/>
      <c r="AK161" s="225"/>
      <c r="AL161" s="225"/>
      <c r="AM161" s="225"/>
      <c r="AN161" s="225"/>
      <c r="AO161" s="225"/>
      <c r="AP161" s="225"/>
      <c r="AQ161" s="225"/>
      <c r="AR161" s="225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</row>
    <row collapsed="false" customFormat="false" customHeight="true" hidden="false" ht="15.75" outlineLevel="0"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144"/>
      <c r="M162" s="32"/>
      <c r="N162" s="32"/>
      <c r="O162" s="32"/>
      <c r="P162" s="32"/>
      <c r="Q162" s="32"/>
      <c r="R162" s="144"/>
      <c r="S162" s="144"/>
      <c r="T162" s="144"/>
      <c r="U162" s="144"/>
      <c r="V162" s="144"/>
      <c r="W162" s="144"/>
      <c r="X162" s="32"/>
      <c r="Y162" s="226"/>
      <c r="Z162" s="234"/>
      <c r="AA162" s="234"/>
      <c r="AB162" s="227"/>
      <c r="AC162" s="228"/>
      <c r="AD162" s="32"/>
      <c r="AE162" s="32"/>
      <c r="AF162" s="32"/>
      <c r="AG162" s="113"/>
      <c r="AH162" s="21"/>
      <c r="AI162" s="225"/>
      <c r="AJ162" s="225"/>
      <c r="AK162" s="225"/>
      <c r="AL162" s="225"/>
      <c r="AM162" s="225"/>
      <c r="AN162" s="225"/>
      <c r="AO162" s="225"/>
      <c r="AP162" s="225"/>
      <c r="AQ162" s="225"/>
      <c r="AR162" s="225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</row>
    <row collapsed="false" customFormat="false" customHeight="true" hidden="false" ht="15.75" outlineLevel="0"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144"/>
      <c r="M163" s="32"/>
      <c r="N163" s="32"/>
      <c r="O163" s="32"/>
      <c r="P163" s="32"/>
      <c r="Q163" s="32"/>
      <c r="R163" s="144"/>
      <c r="S163" s="144"/>
      <c r="T163" s="144"/>
      <c r="U163" s="144"/>
      <c r="V163" s="144"/>
      <c r="W163" s="144"/>
      <c r="X163" s="32"/>
      <c r="Y163" s="226"/>
      <c r="Z163" s="235"/>
      <c r="AA163" s="235"/>
      <c r="AB163" s="227"/>
      <c r="AC163" s="228"/>
      <c r="AD163" s="32"/>
      <c r="AE163" s="32"/>
      <c r="AF163" s="32"/>
      <c r="AG163" s="113"/>
      <c r="AH163" s="21"/>
      <c r="AI163" s="225"/>
      <c r="AJ163" s="225"/>
      <c r="AK163" s="225"/>
      <c r="AL163" s="225"/>
      <c r="AM163" s="225"/>
      <c r="AN163" s="225"/>
      <c r="AO163" s="225"/>
      <c r="AP163" s="225"/>
      <c r="AQ163" s="225"/>
      <c r="AR163" s="225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</row>
    <row collapsed="false" customFormat="false" customHeight="true" hidden="false" ht="15.75" outlineLevel="0"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144"/>
      <c r="M164" s="32"/>
      <c r="N164" s="32"/>
      <c r="O164" s="32"/>
      <c r="P164" s="32"/>
      <c r="Q164" s="32"/>
      <c r="R164" s="144"/>
      <c r="S164" s="144"/>
      <c r="T164" s="144"/>
      <c r="U164" s="144"/>
      <c r="V164" s="144"/>
      <c r="W164" s="144"/>
      <c r="X164" s="32"/>
      <c r="Y164" s="32"/>
      <c r="Z164" s="32"/>
      <c r="AA164" s="32"/>
      <c r="AB164" s="32"/>
      <c r="AC164" s="113"/>
      <c r="AD164" s="32"/>
      <c r="AE164" s="236"/>
      <c r="AF164" s="32"/>
      <c r="AG164" s="113"/>
      <c r="AH164" s="21"/>
      <c r="AI164" s="225"/>
      <c r="AJ164" s="225"/>
      <c r="AK164" s="225"/>
      <c r="AL164" s="225"/>
      <c r="AM164" s="225"/>
      <c r="AN164" s="225"/>
      <c r="AO164" s="225"/>
      <c r="AP164" s="225"/>
      <c r="AQ164" s="225"/>
      <c r="AR164" s="225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</row>
  </sheetData>
  <mergeCells count="624">
    <mergeCell ref="J3:O3"/>
    <mergeCell ref="C4:C5"/>
    <mergeCell ref="D4:D5"/>
    <mergeCell ref="E4:E5"/>
    <mergeCell ref="AI4:AI5"/>
    <mergeCell ref="AJ4:AJ5"/>
    <mergeCell ref="AK4:AK5"/>
    <mergeCell ref="AM4:AM5"/>
    <mergeCell ref="AO4:AO5"/>
    <mergeCell ref="AP4:AP5"/>
    <mergeCell ref="AQ4:AQ5"/>
    <mergeCell ref="AS4:AS5"/>
    <mergeCell ref="C6:C7"/>
    <mergeCell ref="D6:D7"/>
    <mergeCell ref="E6:E7"/>
    <mergeCell ref="AI6:AI7"/>
    <mergeCell ref="AJ6:AJ7"/>
    <mergeCell ref="AK6:AK7"/>
    <mergeCell ref="AM6:AM7"/>
    <mergeCell ref="AO6:AO7"/>
    <mergeCell ref="AP6:AP7"/>
    <mergeCell ref="AQ6:AQ7"/>
    <mergeCell ref="AS6:AS7"/>
    <mergeCell ref="C8:C9"/>
    <mergeCell ref="D8:D9"/>
    <mergeCell ref="E8:E9"/>
    <mergeCell ref="AI8:AI9"/>
    <mergeCell ref="AJ8:AJ9"/>
    <mergeCell ref="AK8:AK9"/>
    <mergeCell ref="AM8:AM9"/>
    <mergeCell ref="AO8:AO9"/>
    <mergeCell ref="AP8:AP9"/>
    <mergeCell ref="AQ8:AQ9"/>
    <mergeCell ref="AS8:AS9"/>
    <mergeCell ref="C10:C11"/>
    <mergeCell ref="D10:D11"/>
    <mergeCell ref="E10:E11"/>
    <mergeCell ref="AI10:AI11"/>
    <mergeCell ref="AJ10:AJ11"/>
    <mergeCell ref="AK10:AK11"/>
    <mergeCell ref="AM10:AM11"/>
    <mergeCell ref="AO10:AO11"/>
    <mergeCell ref="AP10:AP11"/>
    <mergeCell ref="AQ10:AQ11"/>
    <mergeCell ref="AS10:AS11"/>
    <mergeCell ref="C12:C13"/>
    <mergeCell ref="D12:D13"/>
    <mergeCell ref="E12:E13"/>
    <mergeCell ref="AM12:AM13"/>
    <mergeCell ref="AO12:AO13"/>
    <mergeCell ref="AP12:AP13"/>
    <mergeCell ref="AS12:AS13"/>
    <mergeCell ref="C14:C15"/>
    <mergeCell ref="D14:D15"/>
    <mergeCell ref="E14:E15"/>
    <mergeCell ref="AI14:AI15"/>
    <mergeCell ref="AJ14:AJ15"/>
    <mergeCell ref="AK14:AK15"/>
    <mergeCell ref="AM14:AM15"/>
    <mergeCell ref="AO14:AO15"/>
    <mergeCell ref="AP14:AP15"/>
    <mergeCell ref="AQ14:AQ15"/>
    <mergeCell ref="AS14:AS15"/>
    <mergeCell ref="C16:C17"/>
    <mergeCell ref="D16:D17"/>
    <mergeCell ref="E16:E17"/>
    <mergeCell ref="AI16:AI17"/>
    <mergeCell ref="AJ16:AJ17"/>
    <mergeCell ref="AK16:AK17"/>
    <mergeCell ref="AM16:AM17"/>
    <mergeCell ref="AO16:AO17"/>
    <mergeCell ref="AP16:AP17"/>
    <mergeCell ref="AQ16:AQ17"/>
    <mergeCell ref="AS16:AS17"/>
    <mergeCell ref="C18:C19"/>
    <mergeCell ref="D18:D19"/>
    <mergeCell ref="E18:E19"/>
    <mergeCell ref="AI18:AI19"/>
    <mergeCell ref="AJ18:AJ19"/>
    <mergeCell ref="AK18:AK19"/>
    <mergeCell ref="AM18:AM19"/>
    <mergeCell ref="AO18:AO19"/>
    <mergeCell ref="AP18:AP19"/>
    <mergeCell ref="AQ18:AQ19"/>
    <mergeCell ref="AS18:AS19"/>
    <mergeCell ref="C20:C21"/>
    <mergeCell ref="D20:D21"/>
    <mergeCell ref="E20:E21"/>
    <mergeCell ref="AI20:AI21"/>
    <mergeCell ref="AJ20:AJ21"/>
    <mergeCell ref="AK20:AK21"/>
    <mergeCell ref="AM20:AM21"/>
    <mergeCell ref="AO20:AO21"/>
    <mergeCell ref="AP20:AP21"/>
    <mergeCell ref="AQ20:AQ21"/>
    <mergeCell ref="AS20:AS21"/>
    <mergeCell ref="C22:C23"/>
    <mergeCell ref="D22:D23"/>
    <mergeCell ref="E22:E23"/>
    <mergeCell ref="AI22:AI23"/>
    <mergeCell ref="AM22:AM23"/>
    <mergeCell ref="AO22:AO23"/>
    <mergeCell ref="C24:C25"/>
    <mergeCell ref="D24:D25"/>
    <mergeCell ref="E24:E25"/>
    <mergeCell ref="AI24:AI25"/>
    <mergeCell ref="AO24:AO25"/>
    <mergeCell ref="AS24:AS25"/>
    <mergeCell ref="C26:C27"/>
    <mergeCell ref="E26:E27"/>
    <mergeCell ref="AI26:AI27"/>
    <mergeCell ref="AO26:AO27"/>
    <mergeCell ref="C28:C29"/>
    <mergeCell ref="D28:D29"/>
    <mergeCell ref="E28:E29"/>
    <mergeCell ref="AI28:AI29"/>
    <mergeCell ref="AJ28:AJ29"/>
    <mergeCell ref="AK28:AK29"/>
    <mergeCell ref="AO28:AO29"/>
    <mergeCell ref="AP28:AP29"/>
    <mergeCell ref="AQ28:AQ29"/>
    <mergeCell ref="AS28:AS29"/>
    <mergeCell ref="J32:O32"/>
    <mergeCell ref="C34:C35"/>
    <mergeCell ref="D34:D35"/>
    <mergeCell ref="E34:E35"/>
    <mergeCell ref="AI34:AI35"/>
    <mergeCell ref="AJ34:AJ35"/>
    <mergeCell ref="AK34:AK35"/>
    <mergeCell ref="AM34:AM35"/>
    <mergeCell ref="AO34:AO35"/>
    <mergeCell ref="AP34:AP35"/>
    <mergeCell ref="AQ34:AQ35"/>
    <mergeCell ref="AS34:AS35"/>
    <mergeCell ref="C36:C37"/>
    <mergeCell ref="D36:D37"/>
    <mergeCell ref="E36:E37"/>
    <mergeCell ref="AI36:AI37"/>
    <mergeCell ref="AJ36:AJ37"/>
    <mergeCell ref="AK36:AK37"/>
    <mergeCell ref="AM36:AM37"/>
    <mergeCell ref="AO36:AO37"/>
    <mergeCell ref="AP36:AP37"/>
    <mergeCell ref="AQ36:AQ37"/>
    <mergeCell ref="AS36:AS37"/>
    <mergeCell ref="C38:C39"/>
    <mergeCell ref="D38:D39"/>
    <mergeCell ref="E38:E39"/>
    <mergeCell ref="AI38:AI39"/>
    <mergeCell ref="AJ38:AJ39"/>
    <mergeCell ref="AK38:AK39"/>
    <mergeCell ref="AM38:AM39"/>
    <mergeCell ref="AO38:AO39"/>
    <mergeCell ref="AP38:AP39"/>
    <mergeCell ref="AQ38:AQ39"/>
    <mergeCell ref="AS38:AS39"/>
    <mergeCell ref="C40:C41"/>
    <mergeCell ref="D40:D41"/>
    <mergeCell ref="E40:E41"/>
    <mergeCell ref="AI40:AI41"/>
    <mergeCell ref="AJ40:AJ41"/>
    <mergeCell ref="AK40:AK41"/>
    <mergeCell ref="AM40:AM41"/>
    <mergeCell ref="AO40:AO41"/>
    <mergeCell ref="AP40:AP41"/>
    <mergeCell ref="AQ40:AQ41"/>
    <mergeCell ref="AS40:AS41"/>
    <mergeCell ref="C42:C43"/>
    <mergeCell ref="D42:D43"/>
    <mergeCell ref="E42:E43"/>
    <mergeCell ref="AI42:AI43"/>
    <mergeCell ref="AJ42:AJ43"/>
    <mergeCell ref="AK42:AK43"/>
    <mergeCell ref="AM42:AM43"/>
    <mergeCell ref="AO42:AO43"/>
    <mergeCell ref="AP42:AP43"/>
    <mergeCell ref="AQ42:AQ43"/>
    <mergeCell ref="AS42:AS43"/>
    <mergeCell ref="C44:C45"/>
    <mergeCell ref="D44:D45"/>
    <mergeCell ref="E44:E45"/>
    <mergeCell ref="AI44:AI45"/>
    <mergeCell ref="AJ44:AJ45"/>
    <mergeCell ref="AK44:AK45"/>
    <mergeCell ref="AM44:AM45"/>
    <mergeCell ref="AO44:AO45"/>
    <mergeCell ref="AP44:AP45"/>
    <mergeCell ref="AQ44:AQ45"/>
    <mergeCell ref="AS44:AS45"/>
    <mergeCell ref="C46:C47"/>
    <mergeCell ref="D46:D47"/>
    <mergeCell ref="E46:E47"/>
    <mergeCell ref="AI46:AI47"/>
    <mergeCell ref="AJ46:AJ47"/>
    <mergeCell ref="AK46:AK47"/>
    <mergeCell ref="AM46:AM47"/>
    <mergeCell ref="AO46:AO47"/>
    <mergeCell ref="AP46:AP47"/>
    <mergeCell ref="AQ46:AQ47"/>
    <mergeCell ref="AS46:AS47"/>
    <mergeCell ref="C48:C49"/>
    <mergeCell ref="D48:D49"/>
    <mergeCell ref="E48:E49"/>
    <mergeCell ref="AI48:AI49"/>
    <mergeCell ref="AJ48:AJ49"/>
    <mergeCell ref="AK48:AK49"/>
    <mergeCell ref="AM48:AM49"/>
    <mergeCell ref="AO48:AO49"/>
    <mergeCell ref="AP48:AP49"/>
    <mergeCell ref="AQ48:AQ49"/>
    <mergeCell ref="AS48:AS49"/>
    <mergeCell ref="C50:C51"/>
    <mergeCell ref="D50:D51"/>
    <mergeCell ref="E50:E51"/>
    <mergeCell ref="AI50:AI51"/>
    <mergeCell ref="AM50:AM51"/>
    <mergeCell ref="AO50:AO51"/>
    <mergeCell ref="AS50:AS51"/>
    <mergeCell ref="C52:C53"/>
    <mergeCell ref="D52:D53"/>
    <mergeCell ref="E52:E53"/>
    <mergeCell ref="AI52:AI53"/>
    <mergeCell ref="AM52:AM53"/>
    <mergeCell ref="AO52:AO53"/>
    <mergeCell ref="AS52:AS53"/>
    <mergeCell ref="C54:C55"/>
    <mergeCell ref="D54:D55"/>
    <mergeCell ref="E54:E55"/>
    <mergeCell ref="AI54:AI55"/>
    <mergeCell ref="AJ54:AJ55"/>
    <mergeCell ref="AK54:AK55"/>
    <mergeCell ref="AM54:AM55"/>
    <mergeCell ref="AO54:AO55"/>
    <mergeCell ref="AP54:AP55"/>
    <mergeCell ref="AQ54:AQ55"/>
    <mergeCell ref="AS54:AS55"/>
    <mergeCell ref="C56:C57"/>
    <mergeCell ref="D56:D57"/>
    <mergeCell ref="E56:E57"/>
    <mergeCell ref="AI56:AI57"/>
    <mergeCell ref="AJ56:AJ57"/>
    <mergeCell ref="AK56:AK57"/>
    <mergeCell ref="AM56:AM57"/>
    <mergeCell ref="AO56:AO57"/>
    <mergeCell ref="AP56:AP57"/>
    <mergeCell ref="AQ56:AQ57"/>
    <mergeCell ref="AS56:AS57"/>
    <mergeCell ref="C58:C59"/>
    <mergeCell ref="D58:D59"/>
    <mergeCell ref="E58:E59"/>
    <mergeCell ref="AI58:AI59"/>
    <mergeCell ref="AJ58:AJ59"/>
    <mergeCell ref="AK58:AK59"/>
    <mergeCell ref="AM58:AM59"/>
    <mergeCell ref="AO58:AO59"/>
    <mergeCell ref="AP58:AP59"/>
    <mergeCell ref="AQ58:AQ59"/>
    <mergeCell ref="AS58:AS59"/>
    <mergeCell ref="C60:C61"/>
    <mergeCell ref="D60:D61"/>
    <mergeCell ref="E60:E61"/>
    <mergeCell ref="AI60:AI61"/>
    <mergeCell ref="AJ60:AJ61"/>
    <mergeCell ref="AK60:AK61"/>
    <mergeCell ref="AM60:AM61"/>
    <mergeCell ref="AO60:AO61"/>
    <mergeCell ref="AP60:AP61"/>
    <mergeCell ref="AQ60:AQ61"/>
    <mergeCell ref="AS60:AS61"/>
    <mergeCell ref="C62:C63"/>
    <mergeCell ref="D62:D63"/>
    <mergeCell ref="E62:E63"/>
    <mergeCell ref="AI62:AI63"/>
    <mergeCell ref="AJ62:AJ63"/>
    <mergeCell ref="AK62:AK63"/>
    <mergeCell ref="AM62:AM63"/>
    <mergeCell ref="AO62:AO63"/>
    <mergeCell ref="AP62:AP63"/>
    <mergeCell ref="AQ62:AQ63"/>
    <mergeCell ref="AS62:AS63"/>
    <mergeCell ref="C64:C65"/>
    <mergeCell ref="D64:D65"/>
    <mergeCell ref="E64:E65"/>
    <mergeCell ref="AI64:AI65"/>
    <mergeCell ref="AJ64:AJ65"/>
    <mergeCell ref="AK64:AK65"/>
    <mergeCell ref="AM64:AM65"/>
    <mergeCell ref="AO64:AO65"/>
    <mergeCell ref="AP64:AP65"/>
    <mergeCell ref="AQ64:AQ65"/>
    <mergeCell ref="AS64:AS65"/>
    <mergeCell ref="C66:C67"/>
    <mergeCell ref="D66:D67"/>
    <mergeCell ref="E66:E67"/>
    <mergeCell ref="AI66:AI67"/>
    <mergeCell ref="AJ66:AJ67"/>
    <mergeCell ref="AK66:AK67"/>
    <mergeCell ref="AM66:AM67"/>
    <mergeCell ref="AO66:AO67"/>
    <mergeCell ref="AP66:AP67"/>
    <mergeCell ref="AQ66:AQ67"/>
    <mergeCell ref="AS66:AS67"/>
    <mergeCell ref="E68:E70"/>
    <mergeCell ref="Y72:Y80"/>
    <mergeCell ref="Z72:AA72"/>
    <mergeCell ref="Z73:AA73"/>
    <mergeCell ref="Z74:AA74"/>
    <mergeCell ref="Z76:AA76"/>
    <mergeCell ref="Z77:AA77"/>
    <mergeCell ref="Z78:AA78"/>
    <mergeCell ref="Z79:AA79"/>
    <mergeCell ref="Z80:AA80"/>
    <mergeCell ref="J86:O86"/>
    <mergeCell ref="C87:C88"/>
    <mergeCell ref="D87:D88"/>
    <mergeCell ref="E87:E88"/>
    <mergeCell ref="AI87:AI88"/>
    <mergeCell ref="AJ87:AJ88"/>
    <mergeCell ref="AK87:AK88"/>
    <mergeCell ref="AM87:AM88"/>
    <mergeCell ref="AO87:AO88"/>
    <mergeCell ref="AP87:AP88"/>
    <mergeCell ref="AQ87:AQ88"/>
    <mergeCell ref="AS87:AS88"/>
    <mergeCell ref="C89:C90"/>
    <mergeCell ref="D89:D90"/>
    <mergeCell ref="E89:E90"/>
    <mergeCell ref="AI89:AI90"/>
    <mergeCell ref="AJ89:AJ90"/>
    <mergeCell ref="AK89:AK90"/>
    <mergeCell ref="AM89:AM90"/>
    <mergeCell ref="AO89:AO90"/>
    <mergeCell ref="AP89:AP90"/>
    <mergeCell ref="AQ89:AQ90"/>
    <mergeCell ref="AS89:AS90"/>
    <mergeCell ref="C91:C92"/>
    <mergeCell ref="D91:D92"/>
    <mergeCell ref="E91:E92"/>
    <mergeCell ref="AI91:AI92"/>
    <mergeCell ref="AJ91:AJ92"/>
    <mergeCell ref="AK91:AK92"/>
    <mergeCell ref="AM91:AM92"/>
    <mergeCell ref="AO91:AO92"/>
    <mergeCell ref="AP91:AP92"/>
    <mergeCell ref="AQ91:AQ92"/>
    <mergeCell ref="AS91:AS92"/>
    <mergeCell ref="C93:C94"/>
    <mergeCell ref="D93:D94"/>
    <mergeCell ref="E93:E94"/>
    <mergeCell ref="AI93:AI94"/>
    <mergeCell ref="AJ93:AJ94"/>
    <mergeCell ref="AK93:AK94"/>
    <mergeCell ref="AM93:AM94"/>
    <mergeCell ref="AO93:AO94"/>
    <mergeCell ref="AP93:AP94"/>
    <mergeCell ref="AQ93:AQ94"/>
    <mergeCell ref="AS93:AS94"/>
    <mergeCell ref="C95:C96"/>
    <mergeCell ref="D95:D96"/>
    <mergeCell ref="E95:E96"/>
    <mergeCell ref="AM95:AM96"/>
    <mergeCell ref="AO95:AO96"/>
    <mergeCell ref="AP95:AP96"/>
    <mergeCell ref="AS95:AS96"/>
    <mergeCell ref="C97:C98"/>
    <mergeCell ref="D97:D98"/>
    <mergeCell ref="E97:E98"/>
    <mergeCell ref="AI97:AI98"/>
    <mergeCell ref="AJ97:AJ98"/>
    <mergeCell ref="AK97:AK98"/>
    <mergeCell ref="AM97:AM98"/>
    <mergeCell ref="AO97:AO98"/>
    <mergeCell ref="AP97:AP98"/>
    <mergeCell ref="AQ97:AQ98"/>
    <mergeCell ref="AS97:AS98"/>
    <mergeCell ref="C99:C100"/>
    <mergeCell ref="D99:D100"/>
    <mergeCell ref="E99:E100"/>
    <mergeCell ref="AI99:AI100"/>
    <mergeCell ref="AJ99:AJ100"/>
    <mergeCell ref="AK99:AK100"/>
    <mergeCell ref="AM99:AM100"/>
    <mergeCell ref="AO99:AO100"/>
    <mergeCell ref="AP99:AP100"/>
    <mergeCell ref="AQ99:AQ100"/>
    <mergeCell ref="AS99:AS100"/>
    <mergeCell ref="C101:C102"/>
    <mergeCell ref="D101:D102"/>
    <mergeCell ref="E101:E102"/>
    <mergeCell ref="AI101:AI102"/>
    <mergeCell ref="AJ101:AJ102"/>
    <mergeCell ref="AK101:AK102"/>
    <mergeCell ref="AM101:AM102"/>
    <mergeCell ref="AO101:AO102"/>
    <mergeCell ref="AP101:AP102"/>
    <mergeCell ref="AQ101:AQ102"/>
    <mergeCell ref="AS101:AS102"/>
    <mergeCell ref="C103:C104"/>
    <mergeCell ref="D103:D104"/>
    <mergeCell ref="E103:E104"/>
    <mergeCell ref="AI103:AI104"/>
    <mergeCell ref="AJ103:AJ104"/>
    <mergeCell ref="AK103:AK104"/>
    <mergeCell ref="AM103:AM104"/>
    <mergeCell ref="AO103:AO104"/>
    <mergeCell ref="AP103:AP104"/>
    <mergeCell ref="AQ103:AQ104"/>
    <mergeCell ref="AS103:AS104"/>
    <mergeCell ref="C105:C106"/>
    <mergeCell ref="D105:D106"/>
    <mergeCell ref="E105:E106"/>
    <mergeCell ref="AI105:AI106"/>
    <mergeCell ref="AM105:AM106"/>
    <mergeCell ref="AO105:AO106"/>
    <mergeCell ref="C107:C108"/>
    <mergeCell ref="D107:D108"/>
    <mergeCell ref="E107:E108"/>
    <mergeCell ref="AI107:AI108"/>
    <mergeCell ref="AO107:AO108"/>
    <mergeCell ref="AS107:AS108"/>
    <mergeCell ref="C109:C110"/>
    <mergeCell ref="E109:E110"/>
    <mergeCell ref="AI109:AI110"/>
    <mergeCell ref="AO109:AO110"/>
    <mergeCell ref="C111:C112"/>
    <mergeCell ref="D111:D112"/>
    <mergeCell ref="E111:E112"/>
    <mergeCell ref="AI111:AI112"/>
    <mergeCell ref="AJ111:AJ112"/>
    <mergeCell ref="AK111:AK112"/>
    <mergeCell ref="AO111:AO112"/>
    <mergeCell ref="AP111:AP112"/>
    <mergeCell ref="AQ111:AQ112"/>
    <mergeCell ref="AS111:AS112"/>
    <mergeCell ref="J115:O115"/>
    <mergeCell ref="C117:C118"/>
    <mergeCell ref="D117:D118"/>
    <mergeCell ref="E117:E118"/>
    <mergeCell ref="AI117:AI118"/>
    <mergeCell ref="AJ117:AJ118"/>
    <mergeCell ref="AK117:AK118"/>
    <mergeCell ref="AM117:AM118"/>
    <mergeCell ref="AO117:AO118"/>
    <mergeCell ref="AP117:AP118"/>
    <mergeCell ref="AQ117:AQ118"/>
    <mergeCell ref="AS117:AS118"/>
    <mergeCell ref="C119:C120"/>
    <mergeCell ref="D119:D120"/>
    <mergeCell ref="E119:E120"/>
    <mergeCell ref="AI119:AI120"/>
    <mergeCell ref="AJ119:AJ120"/>
    <mergeCell ref="AK119:AK120"/>
    <mergeCell ref="AM119:AM120"/>
    <mergeCell ref="AO119:AO120"/>
    <mergeCell ref="AP119:AP120"/>
    <mergeCell ref="AQ119:AQ120"/>
    <mergeCell ref="AS119:AS120"/>
    <mergeCell ref="C121:C122"/>
    <mergeCell ref="D121:D122"/>
    <mergeCell ref="E121:E122"/>
    <mergeCell ref="AI121:AI122"/>
    <mergeCell ref="AJ121:AJ122"/>
    <mergeCell ref="AK121:AK122"/>
    <mergeCell ref="AM121:AM122"/>
    <mergeCell ref="AO121:AO122"/>
    <mergeCell ref="AP121:AP122"/>
    <mergeCell ref="AQ121:AQ122"/>
    <mergeCell ref="AS121:AS122"/>
    <mergeCell ref="C123:C124"/>
    <mergeCell ref="D123:D124"/>
    <mergeCell ref="E123:E124"/>
    <mergeCell ref="AI123:AI124"/>
    <mergeCell ref="AJ123:AJ124"/>
    <mergeCell ref="AK123:AK124"/>
    <mergeCell ref="AM123:AM124"/>
    <mergeCell ref="AO123:AO124"/>
    <mergeCell ref="AP123:AP124"/>
    <mergeCell ref="AQ123:AQ124"/>
    <mergeCell ref="AS123:AS124"/>
    <mergeCell ref="C125:C126"/>
    <mergeCell ref="D125:D126"/>
    <mergeCell ref="E125:E126"/>
    <mergeCell ref="AI125:AI126"/>
    <mergeCell ref="AJ125:AJ126"/>
    <mergeCell ref="AK125:AK126"/>
    <mergeCell ref="AM125:AM126"/>
    <mergeCell ref="AO125:AO126"/>
    <mergeCell ref="AP125:AP126"/>
    <mergeCell ref="AQ125:AQ126"/>
    <mergeCell ref="AS125:AS126"/>
    <mergeCell ref="C127:C128"/>
    <mergeCell ref="D127:D128"/>
    <mergeCell ref="E127:E128"/>
    <mergeCell ref="AI127:AI128"/>
    <mergeCell ref="AJ127:AJ128"/>
    <mergeCell ref="AK127:AK128"/>
    <mergeCell ref="AM127:AM128"/>
    <mergeCell ref="AO127:AO128"/>
    <mergeCell ref="AP127:AP128"/>
    <mergeCell ref="AQ127:AQ128"/>
    <mergeCell ref="AS127:AS128"/>
    <mergeCell ref="C129:C130"/>
    <mergeCell ref="D129:D130"/>
    <mergeCell ref="E129:E130"/>
    <mergeCell ref="AI129:AI130"/>
    <mergeCell ref="AJ129:AJ130"/>
    <mergeCell ref="AK129:AK130"/>
    <mergeCell ref="AM129:AM130"/>
    <mergeCell ref="AO129:AO130"/>
    <mergeCell ref="AP129:AP130"/>
    <mergeCell ref="AQ129:AQ130"/>
    <mergeCell ref="AS129:AS130"/>
    <mergeCell ref="C131:C132"/>
    <mergeCell ref="D131:D132"/>
    <mergeCell ref="E131:E132"/>
    <mergeCell ref="AI131:AI132"/>
    <mergeCell ref="AJ131:AJ132"/>
    <mergeCell ref="AK131:AK132"/>
    <mergeCell ref="AM131:AM132"/>
    <mergeCell ref="AO131:AO132"/>
    <mergeCell ref="AP131:AP132"/>
    <mergeCell ref="AQ131:AQ132"/>
    <mergeCell ref="AS131:AS132"/>
    <mergeCell ref="C133:C134"/>
    <mergeCell ref="D133:D134"/>
    <mergeCell ref="E133:E134"/>
    <mergeCell ref="AI133:AI134"/>
    <mergeCell ref="AM133:AM134"/>
    <mergeCell ref="AO133:AO134"/>
    <mergeCell ref="AS133:AS134"/>
    <mergeCell ref="C135:C136"/>
    <mergeCell ref="D135:D136"/>
    <mergeCell ref="E135:E136"/>
    <mergeCell ref="AI135:AI136"/>
    <mergeCell ref="AM135:AM136"/>
    <mergeCell ref="AO135:AO136"/>
    <mergeCell ref="AS135:AS136"/>
    <mergeCell ref="C137:C138"/>
    <mergeCell ref="D137:D138"/>
    <mergeCell ref="E137:E138"/>
    <mergeCell ref="AI137:AI138"/>
    <mergeCell ref="AJ137:AJ138"/>
    <mergeCell ref="AK137:AK138"/>
    <mergeCell ref="AM137:AM138"/>
    <mergeCell ref="AO137:AO138"/>
    <mergeCell ref="AP137:AP138"/>
    <mergeCell ref="AQ137:AQ138"/>
    <mergeCell ref="AS137:AS138"/>
    <mergeCell ref="C139:C140"/>
    <mergeCell ref="D139:D140"/>
    <mergeCell ref="E139:E140"/>
    <mergeCell ref="AI139:AI140"/>
    <mergeCell ref="AJ139:AJ140"/>
    <mergeCell ref="AK139:AK140"/>
    <mergeCell ref="AM139:AM140"/>
    <mergeCell ref="AO139:AO140"/>
    <mergeCell ref="AP139:AP140"/>
    <mergeCell ref="AQ139:AQ140"/>
    <mergeCell ref="AS139:AS140"/>
    <mergeCell ref="C141:C142"/>
    <mergeCell ref="D141:D142"/>
    <mergeCell ref="E141:E142"/>
    <mergeCell ref="AI141:AI142"/>
    <mergeCell ref="AJ141:AJ142"/>
    <mergeCell ref="AK141:AK142"/>
    <mergeCell ref="AM141:AM142"/>
    <mergeCell ref="AO141:AO142"/>
    <mergeCell ref="AP141:AP142"/>
    <mergeCell ref="AQ141:AQ142"/>
    <mergeCell ref="AS141:AS142"/>
    <mergeCell ref="C143:C144"/>
    <mergeCell ref="D143:D144"/>
    <mergeCell ref="E143:E144"/>
    <mergeCell ref="AI143:AI144"/>
    <mergeCell ref="AJ143:AJ144"/>
    <mergeCell ref="AK143:AK144"/>
    <mergeCell ref="AM143:AM144"/>
    <mergeCell ref="AO143:AO144"/>
    <mergeCell ref="AP143:AP144"/>
    <mergeCell ref="AQ143:AQ144"/>
    <mergeCell ref="AS143:AS144"/>
    <mergeCell ref="C145:C146"/>
    <mergeCell ref="D145:D146"/>
    <mergeCell ref="E145:E146"/>
    <mergeCell ref="AI145:AI146"/>
    <mergeCell ref="AJ145:AJ146"/>
    <mergeCell ref="AK145:AK146"/>
    <mergeCell ref="AM145:AM146"/>
    <mergeCell ref="AO145:AO146"/>
    <mergeCell ref="AP145:AP146"/>
    <mergeCell ref="AQ145:AQ146"/>
    <mergeCell ref="AS145:AS146"/>
    <mergeCell ref="C147:C148"/>
    <mergeCell ref="D147:D148"/>
    <mergeCell ref="E147:E148"/>
    <mergeCell ref="AI147:AI148"/>
    <mergeCell ref="AJ147:AJ148"/>
    <mergeCell ref="AK147:AK148"/>
    <mergeCell ref="AM147:AM148"/>
    <mergeCell ref="AO147:AO148"/>
    <mergeCell ref="AP147:AP148"/>
    <mergeCell ref="AQ147:AQ148"/>
    <mergeCell ref="AS147:AS148"/>
    <mergeCell ref="C149:C150"/>
    <mergeCell ref="D149:D150"/>
    <mergeCell ref="E149:E150"/>
    <mergeCell ref="AI149:AI150"/>
    <mergeCell ref="AJ149:AJ150"/>
    <mergeCell ref="AK149:AK150"/>
    <mergeCell ref="AM149:AM150"/>
    <mergeCell ref="AO149:AO150"/>
    <mergeCell ref="AP149:AP150"/>
    <mergeCell ref="AQ149:AQ150"/>
    <mergeCell ref="AS149:AS150"/>
    <mergeCell ref="E151:E153"/>
    <mergeCell ref="Y155:Y163"/>
    <mergeCell ref="Z155:AA155"/>
    <mergeCell ref="Z156:AA156"/>
    <mergeCell ref="Z157:AA157"/>
    <mergeCell ref="Z159:AA159"/>
    <mergeCell ref="Z160:AA160"/>
    <mergeCell ref="Z161:AA161"/>
    <mergeCell ref="Z162:AA162"/>
    <mergeCell ref="Z163:AA163"/>
  </mergeCells>
  <printOptions headings="false" gridLines="true" gridLinesSet="true" horizontalCentered="tru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landscape" pageOrder="overThenDown" paperSize="9" scale="100" useFirstPageNumber="false" usePrinterDefaults="false" verticalDpi="300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